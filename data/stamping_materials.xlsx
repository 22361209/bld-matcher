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Height="15180" tabRatio="752"/>
  </bookViews>
  <sheets>
    <sheet name="材料数据" sheetId="28" r:id="rId1"/>
    <sheet name="片件重量" sheetId="21" r:id="rId2"/>
    <sheet name="后备下料资料" sheetId="33" r:id="rId3"/>
  </sheets>
  <definedNames>
    <definedName name="_xlnm._FilterDatabase" localSheetId="0" hidden="1">材料数据!$A$1:$R$622</definedName>
    <definedName name="_xlnm._FilterDatabase" localSheetId="1" hidden="1">片件重量!$A$1:$G$494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028</author>
  </authors>
  <commentList>
    <comment ref="G179" authorId="0">
      <text>
        <r>
          <rPr>
            <b/>
            <sz val="9"/>
            <rFont val="宋体"/>
            <charset val="134"/>
          </rPr>
          <t>028:</t>
        </r>
        <r>
          <rPr>
            <sz val="9"/>
            <rFont val="宋体"/>
            <charset val="134"/>
          </rPr>
          <t xml:space="preserve">
3.17改</t>
        </r>
      </text>
    </comment>
    <comment ref="K179" authorId="0">
      <text>
        <r>
          <rPr>
            <b/>
            <sz val="9"/>
            <rFont val="宋体"/>
            <charset val="134"/>
          </rPr>
          <t>028:</t>
        </r>
        <r>
          <rPr>
            <sz val="9"/>
            <rFont val="宋体"/>
            <charset val="134"/>
          </rPr>
          <t xml:space="preserve">
3.17改</t>
        </r>
      </text>
    </comment>
    <comment ref="G180" authorId="0">
      <text>
        <r>
          <rPr>
            <b/>
            <sz val="9"/>
            <rFont val="宋体"/>
            <charset val="134"/>
          </rPr>
          <t>028:</t>
        </r>
        <r>
          <rPr>
            <sz val="9"/>
            <rFont val="宋体"/>
            <charset val="134"/>
          </rPr>
          <t xml:space="preserve">
3.17改</t>
        </r>
      </text>
    </comment>
    <comment ref="K180" authorId="0">
      <text>
        <r>
          <rPr>
            <b/>
            <sz val="9"/>
            <rFont val="宋体"/>
            <charset val="134"/>
          </rPr>
          <t>028:</t>
        </r>
        <r>
          <rPr>
            <sz val="9"/>
            <rFont val="宋体"/>
            <charset val="134"/>
          </rPr>
          <t xml:space="preserve">
3.17改</t>
        </r>
      </text>
    </comment>
    <comment ref="F185" authorId="0">
      <text>
        <r>
          <rPr>
            <b/>
            <sz val="9"/>
            <color rgb="FF000000"/>
            <rFont val="宋体"/>
            <charset val="134"/>
          </rPr>
          <t>028:</t>
        </r>
        <r>
          <rPr>
            <sz val="9"/>
            <color rgb="FF000000"/>
            <rFont val="宋体"/>
            <charset val="134"/>
          </rPr>
          <t xml:space="preserve">
4.28二老板通知4.0改3.5</t>
        </r>
      </text>
    </comment>
    <comment ref="K195" authorId="0">
      <text>
        <r>
          <rPr>
            <b/>
            <sz val="9"/>
            <color rgb="FF000000"/>
            <rFont val="宋体"/>
            <charset val="134"/>
          </rPr>
          <t>028:</t>
        </r>
        <r>
          <rPr>
            <sz val="9"/>
            <color rgb="FF000000"/>
            <rFont val="宋体"/>
            <charset val="134"/>
          </rPr>
          <t xml:space="preserve">
3.17改</t>
        </r>
      </text>
    </comment>
  </commentList>
</comments>
</file>

<file path=xl/sharedStrings.xml><?xml version="1.0" encoding="utf-8"?>
<sst xmlns="http://schemas.openxmlformats.org/spreadsheetml/2006/main" count="3473" uniqueCount="1037">
  <si>
    <t>型号</t>
  </si>
  <si>
    <t>类别</t>
  </si>
  <si>
    <t>车型</t>
  </si>
  <si>
    <t>零件名称</t>
  </si>
  <si>
    <t>规格尺寸</t>
  </si>
  <si>
    <t>下料只数</t>
  </si>
  <si>
    <t>单重</t>
  </si>
  <si>
    <t>规格1</t>
  </si>
  <si>
    <t>规格2</t>
  </si>
  <si>
    <t>规格3</t>
  </si>
  <si>
    <t>备注</t>
  </si>
  <si>
    <t>KA6001</t>
  </si>
  <si>
    <t>后摆臂</t>
  </si>
  <si>
    <t>途胜后摆臂</t>
  </si>
  <si>
    <t>主板</t>
  </si>
  <si>
    <t>2.5×500×1260</t>
  </si>
  <si>
    <t>索纳塔</t>
  </si>
  <si>
    <t>KA6004</t>
  </si>
  <si>
    <t>后纵臂</t>
  </si>
  <si>
    <t>IX35后纵臂</t>
  </si>
  <si>
    <t>3.5×510×1260</t>
  </si>
  <si>
    <t>KA6005</t>
  </si>
  <si>
    <t>叉子</t>
  </si>
  <si>
    <t>4.0×178×1260</t>
  </si>
  <si>
    <t>KA6006</t>
  </si>
  <si>
    <t>后下摆臂</t>
  </si>
  <si>
    <t>新君威后臂</t>
  </si>
  <si>
    <t>4.5×390×1260</t>
  </si>
  <si>
    <t>KA6008</t>
  </si>
  <si>
    <t>后上摆臂</t>
  </si>
  <si>
    <t>3.5×416×1260</t>
  </si>
  <si>
    <t>KB6008</t>
  </si>
  <si>
    <t>副板</t>
  </si>
  <si>
    <t>2.5×416×1260</t>
  </si>
  <si>
    <t>KA6009</t>
  </si>
  <si>
    <t>奔驰204弹簧托臂</t>
  </si>
  <si>
    <t>KB6009</t>
  </si>
  <si>
    <t>2.0×416×1260</t>
  </si>
  <si>
    <t>武钢T12</t>
  </si>
  <si>
    <t>后辅臂</t>
  </si>
  <si>
    <t>ix35</t>
  </si>
  <si>
    <t>KA6012</t>
  </si>
  <si>
    <t>前下摆臂</t>
  </si>
  <si>
    <t>奔驰 205弹簧托臂</t>
  </si>
  <si>
    <t>3.5×500×1260</t>
  </si>
  <si>
    <t>KA6025</t>
  </si>
  <si>
    <t>KA6035</t>
  </si>
  <si>
    <t>KA6036</t>
  </si>
  <si>
    <t>4.5×500×1260</t>
  </si>
  <si>
    <t>KA614501</t>
  </si>
  <si>
    <t>U 型冲件凸</t>
  </si>
  <si>
    <t>KA614502</t>
  </si>
  <si>
    <t>U 型冲件圆</t>
  </si>
  <si>
    <t>KA6155</t>
  </si>
  <si>
    <t>4.0×500×1260</t>
  </si>
  <si>
    <t>KA8001</t>
  </si>
  <si>
    <t>自由舰</t>
  </si>
  <si>
    <t>2.5×416×1500</t>
  </si>
  <si>
    <t>KB8001</t>
  </si>
  <si>
    <t>2.0×416×1780</t>
  </si>
  <si>
    <t>KA8002</t>
  </si>
  <si>
    <t>金刚</t>
  </si>
  <si>
    <t>3.0×416×1580</t>
  </si>
  <si>
    <t>KA8003</t>
  </si>
  <si>
    <t>远景</t>
  </si>
  <si>
    <t>3.0×357×1260</t>
  </si>
  <si>
    <t>KB8003</t>
  </si>
  <si>
    <t>KA8004</t>
  </si>
  <si>
    <t>熊猫/F0</t>
  </si>
  <si>
    <t>3.5×416×500</t>
  </si>
  <si>
    <t>KA8005</t>
  </si>
  <si>
    <t>华普</t>
  </si>
  <si>
    <t>2.5×312×1260</t>
  </si>
  <si>
    <t>KB8005</t>
  </si>
  <si>
    <t>KD8005</t>
  </si>
  <si>
    <t>支架片件</t>
  </si>
  <si>
    <t>2.5×147×1260</t>
  </si>
  <si>
    <t>GKA800501</t>
  </si>
  <si>
    <t>富康铁壳</t>
  </si>
  <si>
    <t>大套支架</t>
  </si>
  <si>
    <t>2.5×277×1260</t>
  </si>
  <si>
    <t>KA8006</t>
  </si>
  <si>
    <t>EC7</t>
  </si>
  <si>
    <t>3.5×357×1260</t>
  </si>
  <si>
    <t>KB8006</t>
  </si>
  <si>
    <t>2.0×357×1260</t>
  </si>
  <si>
    <t>KA8007</t>
  </si>
  <si>
    <t>伊兰特</t>
  </si>
  <si>
    <t>2.5×416×1400</t>
  </si>
  <si>
    <t>KB8007</t>
  </si>
  <si>
    <t>KD8007</t>
  </si>
  <si>
    <t>焊接支架</t>
  </si>
  <si>
    <t>4.0×192×1260</t>
  </si>
  <si>
    <t>KA8008</t>
  </si>
  <si>
    <t>索前下</t>
  </si>
  <si>
    <t>KB8008</t>
  </si>
  <si>
    <t>KD8008</t>
  </si>
  <si>
    <t>KA8009</t>
  </si>
  <si>
    <t>索后下</t>
  </si>
  <si>
    <t>2.5×390×1260</t>
  </si>
  <si>
    <t>一张板可做72-75只 一张板重61.53公斤</t>
  </si>
  <si>
    <t>KA8010</t>
  </si>
  <si>
    <t>前上摆臂</t>
  </si>
  <si>
    <t>索前上</t>
  </si>
  <si>
    <t>2.5×250×1260</t>
  </si>
  <si>
    <t>KB8010</t>
  </si>
  <si>
    <t>2.0×250×1260</t>
  </si>
  <si>
    <t>KA8011</t>
  </si>
  <si>
    <t>索后上</t>
  </si>
  <si>
    <t>KB8011</t>
  </si>
  <si>
    <t>2.0×312×1260</t>
  </si>
  <si>
    <t>XKA8011</t>
  </si>
  <si>
    <t>船形支架</t>
  </si>
  <si>
    <t>KA8012</t>
  </si>
  <si>
    <t>悦动</t>
  </si>
  <si>
    <t>KB8012</t>
  </si>
  <si>
    <t>KA8013</t>
  </si>
  <si>
    <t>千里马</t>
  </si>
  <si>
    <t>KB8013</t>
  </si>
  <si>
    <t>KD8013</t>
  </si>
  <si>
    <t>KA8015</t>
  </si>
  <si>
    <t>宏光</t>
  </si>
  <si>
    <t>2.5×357×1260</t>
  </si>
  <si>
    <t>KB8015</t>
  </si>
  <si>
    <t>KA8016</t>
  </si>
  <si>
    <t>花冠</t>
  </si>
  <si>
    <t>KB8016</t>
  </si>
  <si>
    <t>新副板</t>
  </si>
  <si>
    <t>雅绅特</t>
  </si>
  <si>
    <t>KD8017</t>
  </si>
  <si>
    <t>KA8018</t>
  </si>
  <si>
    <t>飞度</t>
  </si>
  <si>
    <t>3.0×416×1050</t>
  </si>
  <si>
    <t>KA8019</t>
  </si>
  <si>
    <t>思域</t>
  </si>
  <si>
    <t>2.5×330×1260</t>
  </si>
  <si>
    <t>KB8019</t>
  </si>
  <si>
    <t>KD8019</t>
  </si>
  <si>
    <t>支架</t>
  </si>
  <si>
    <t>3.5×192×1260</t>
  </si>
  <si>
    <t>KA8020</t>
  </si>
  <si>
    <t>羚羊前下</t>
  </si>
  <si>
    <t>3.0×362×1260</t>
  </si>
  <si>
    <t>KB8020</t>
  </si>
  <si>
    <t>2.0×277×1260</t>
  </si>
  <si>
    <t>KA8021</t>
  </si>
  <si>
    <t>羚羊后</t>
  </si>
  <si>
    <t>2.5×520×1260</t>
  </si>
  <si>
    <t>KB8021</t>
  </si>
  <si>
    <t>2.0×300×1260</t>
  </si>
  <si>
    <t>KA8025</t>
  </si>
  <si>
    <t>中华前上</t>
  </si>
  <si>
    <t>2.5×265×1260</t>
  </si>
  <si>
    <t>KB8025</t>
  </si>
  <si>
    <t>2.0×325×1260</t>
  </si>
  <si>
    <t>KA8029</t>
  </si>
  <si>
    <t>凯越</t>
  </si>
  <si>
    <t>2.5×416×1580</t>
  </si>
  <si>
    <t>KB8029</t>
  </si>
  <si>
    <t>KC8029</t>
  </si>
  <si>
    <t>加强板</t>
  </si>
  <si>
    <t>KA8030</t>
  </si>
  <si>
    <t>君威</t>
  </si>
  <si>
    <t>KB8030</t>
  </si>
  <si>
    <t>KD8030</t>
  </si>
  <si>
    <t>侧面焊接支架</t>
  </si>
  <si>
    <t>KA8031</t>
  </si>
  <si>
    <t>大宇蓝龙</t>
  </si>
  <si>
    <t>3.0×357×1500</t>
  </si>
  <si>
    <t>KB8031</t>
  </si>
  <si>
    <t>KD8031</t>
  </si>
  <si>
    <t>包皮</t>
  </si>
  <si>
    <t>2.5×166×1260</t>
  </si>
  <si>
    <t>KA8032</t>
  </si>
  <si>
    <t>乐风</t>
  </si>
  <si>
    <t>2.5×357×1760</t>
  </si>
  <si>
    <t>KB8032</t>
  </si>
  <si>
    <t>KA8034</t>
  </si>
  <si>
    <t>雅特</t>
  </si>
  <si>
    <t>KB8034</t>
  </si>
  <si>
    <t>8035-大板</t>
  </si>
  <si>
    <t>KA8035</t>
  </si>
  <si>
    <t>KB8035</t>
  </si>
  <si>
    <t>4.0×312×1250</t>
  </si>
  <si>
    <t>2.0×92.5×1250</t>
  </si>
  <si>
    <t>KA8036</t>
  </si>
  <si>
    <t>捷达</t>
  </si>
  <si>
    <t>KB8036</t>
  </si>
  <si>
    <t>KA8037</t>
  </si>
  <si>
    <t>桑塔纳</t>
  </si>
  <si>
    <t>KB8037</t>
  </si>
  <si>
    <t>KA8038</t>
  </si>
  <si>
    <t>09波罗</t>
  </si>
  <si>
    <t>4.5×540×416</t>
  </si>
  <si>
    <t>KA8040</t>
  </si>
  <si>
    <t>新速腾</t>
  </si>
  <si>
    <t>4.5×416×630</t>
  </si>
  <si>
    <t>KA8041</t>
  </si>
  <si>
    <t>新帕萨特</t>
  </si>
  <si>
    <t>4.0×500×630</t>
  </si>
  <si>
    <t>JL8041</t>
  </si>
  <si>
    <t>KA8042</t>
  </si>
  <si>
    <t>IX35</t>
  </si>
  <si>
    <t>KB8042</t>
  </si>
  <si>
    <t>KC8042</t>
  </si>
  <si>
    <t>KA8043</t>
  </si>
  <si>
    <t>FRV</t>
  </si>
  <si>
    <t>KB8043</t>
  </si>
  <si>
    <t>2.0×416×1500</t>
  </si>
  <si>
    <t>XA8043</t>
  </si>
  <si>
    <t>叉形边条</t>
  </si>
  <si>
    <t>7.0×400×750</t>
  </si>
  <si>
    <t>XB8043</t>
  </si>
  <si>
    <t>钩形边条</t>
  </si>
  <si>
    <t>5.0×360×750</t>
  </si>
  <si>
    <t>XC8043</t>
  </si>
  <si>
    <t>弧形边条</t>
  </si>
  <si>
    <t>7.0×560×750</t>
  </si>
  <si>
    <t>KA8044</t>
  </si>
  <si>
    <t>风神H30</t>
  </si>
  <si>
    <t>3.5×312×1260</t>
  </si>
  <si>
    <t>KB8044</t>
  </si>
  <si>
    <t>KD8044</t>
  </si>
  <si>
    <t>KA8045</t>
  </si>
  <si>
    <t>瑞纳</t>
  </si>
  <si>
    <t>3.5×396×630</t>
  </si>
  <si>
    <t>KB8045</t>
  </si>
  <si>
    <t>KA8046</t>
  </si>
  <si>
    <t>速腾</t>
  </si>
  <si>
    <t>4.0×500×1500</t>
  </si>
  <si>
    <t>XA8046</t>
  </si>
  <si>
    <t>7.0×370×750</t>
  </si>
  <si>
    <t>XB8046</t>
  </si>
  <si>
    <t>5.0×325×1500</t>
  </si>
  <si>
    <t>XC8046</t>
  </si>
  <si>
    <t>7.0×440×750</t>
  </si>
  <si>
    <t>XD8046</t>
  </si>
  <si>
    <t>焊接支座</t>
  </si>
  <si>
    <t>3.0×178×1260</t>
  </si>
  <si>
    <t>KA8047</t>
  </si>
  <si>
    <t>EC8</t>
  </si>
  <si>
    <t>KB8047</t>
  </si>
  <si>
    <t>KA8048</t>
  </si>
  <si>
    <t>GX7</t>
  </si>
  <si>
    <t>3.0×416×630</t>
  </si>
  <si>
    <t>KB8048</t>
  </si>
  <si>
    <t>KD8048</t>
  </si>
  <si>
    <t>中心圆管</t>
  </si>
  <si>
    <t>3.0×192×1260</t>
  </si>
  <si>
    <t>KA8049</t>
  </si>
  <si>
    <t>F6前上</t>
  </si>
  <si>
    <t>3.0×277×1260</t>
  </si>
  <si>
    <t>KA8050</t>
  </si>
  <si>
    <t>圣达菲</t>
  </si>
  <si>
    <t>3.0×500×500</t>
  </si>
  <si>
    <t>KB8050</t>
  </si>
  <si>
    <t>KA8082</t>
  </si>
  <si>
    <t>08威驰</t>
  </si>
  <si>
    <t>KB8082</t>
  </si>
  <si>
    <t>KA8053</t>
  </si>
  <si>
    <t>凯美瑞</t>
  </si>
  <si>
    <t>KB8053</t>
  </si>
  <si>
    <t>3.0×416×1360</t>
  </si>
  <si>
    <t>KA8054</t>
  </si>
  <si>
    <t>速锐</t>
  </si>
  <si>
    <t>3.0×630×390</t>
  </si>
  <si>
    <t>KB8054</t>
  </si>
  <si>
    <t>2.5×630×390</t>
  </si>
  <si>
    <t>KD8054</t>
  </si>
  <si>
    <t>众泰T600</t>
  </si>
  <si>
    <t>KD8056</t>
  </si>
  <si>
    <t>KA8057</t>
  </si>
  <si>
    <t>KB8057</t>
  </si>
  <si>
    <t>KA8058</t>
  </si>
  <si>
    <t>凌渡</t>
  </si>
  <si>
    <t>4.0×416×630</t>
  </si>
  <si>
    <t>8058-1</t>
  </si>
  <si>
    <t>KA8058-1</t>
  </si>
  <si>
    <t>B70</t>
  </si>
  <si>
    <t>4.0×1250×2500</t>
  </si>
  <si>
    <t>KA8059</t>
  </si>
  <si>
    <t>宝来</t>
  </si>
  <si>
    <t>2.5×416×1650</t>
  </si>
  <si>
    <t>KB8059</t>
  </si>
  <si>
    <t>2.5×416×1590</t>
  </si>
  <si>
    <t>KD8059</t>
  </si>
  <si>
    <t>KA8060</t>
  </si>
  <si>
    <t>高7</t>
  </si>
  <si>
    <t>KA8061</t>
  </si>
  <si>
    <t>途胜</t>
  </si>
  <si>
    <t>2.5×416×1675</t>
  </si>
  <si>
    <t>KB8061</t>
  </si>
  <si>
    <t>KC806101</t>
  </si>
  <si>
    <t>KC806102</t>
  </si>
  <si>
    <t>点焊加强板</t>
  </si>
  <si>
    <t>KC806103</t>
  </si>
  <si>
    <t>KA8062</t>
  </si>
  <si>
    <t>景程前下</t>
  </si>
  <si>
    <t>KB8062</t>
  </si>
  <si>
    <t>KD8062</t>
  </si>
  <si>
    <t>4.5×153×1260</t>
  </si>
  <si>
    <t>GKA8062</t>
  </si>
  <si>
    <t>衬套底座</t>
  </si>
  <si>
    <t>底座片件</t>
  </si>
  <si>
    <t>3.5×235×1260</t>
  </si>
  <si>
    <t>KA8063</t>
  </si>
  <si>
    <t>景程后上</t>
  </si>
  <si>
    <t>3.0×312×1260</t>
  </si>
  <si>
    <t>KB8063</t>
  </si>
  <si>
    <t>3.0×227×1260</t>
  </si>
  <si>
    <t>GKA8063L</t>
  </si>
  <si>
    <t>底座片件 L</t>
  </si>
  <si>
    <t>3.0×170×1260</t>
  </si>
  <si>
    <t>GKA8063R</t>
  </si>
  <si>
    <t>底座片件 R</t>
  </si>
  <si>
    <t>KA8064</t>
  </si>
  <si>
    <t>老赛欧</t>
  </si>
  <si>
    <t>2.5×335×1260</t>
  </si>
  <si>
    <t>KB8064</t>
  </si>
  <si>
    <t>KA8070</t>
  </si>
  <si>
    <t>骐达</t>
  </si>
  <si>
    <t>KA8071</t>
  </si>
  <si>
    <t>逍客</t>
  </si>
  <si>
    <t>KB8071</t>
  </si>
  <si>
    <t>2.0×178×1260</t>
  </si>
  <si>
    <t>KA8072</t>
  </si>
  <si>
    <t>玛驰</t>
  </si>
  <si>
    <t>KA8073</t>
  </si>
  <si>
    <t>20款轩逸</t>
  </si>
  <si>
    <t>KB8073</t>
  </si>
  <si>
    <t>KA8076</t>
  </si>
  <si>
    <t>新骐达</t>
  </si>
  <si>
    <t>KA8077</t>
  </si>
  <si>
    <t>新奇骏</t>
  </si>
  <si>
    <t>3.5×500×630</t>
  </si>
  <si>
    <t>KB8077</t>
  </si>
  <si>
    <t>2.5×220×1260</t>
  </si>
  <si>
    <t>JL8077</t>
  </si>
  <si>
    <t>KC8077</t>
  </si>
  <si>
    <t>MS新奇骏</t>
  </si>
  <si>
    <t>2.5×227×1260</t>
  </si>
  <si>
    <t>KA8078</t>
  </si>
  <si>
    <t>朗动</t>
  </si>
  <si>
    <t>KB8078</t>
  </si>
  <si>
    <t>KD8128</t>
  </si>
  <si>
    <t>3X000</t>
  </si>
  <si>
    <t>主板支架</t>
  </si>
  <si>
    <t>JL8128</t>
  </si>
  <si>
    <t>KA8128</t>
  </si>
  <si>
    <t>KB8128</t>
  </si>
  <si>
    <t>KA8079</t>
  </si>
  <si>
    <t>全新胜达</t>
  </si>
  <si>
    <t>2.5×357×1260=4</t>
  </si>
  <si>
    <t>KB8079</t>
  </si>
  <si>
    <t>2.5×357×1650=6</t>
  </si>
  <si>
    <t>KC8079</t>
  </si>
  <si>
    <t>2.5×300×1260=10</t>
  </si>
  <si>
    <t>KD8079L</t>
  </si>
  <si>
    <t>3.0×227×1260=56</t>
  </si>
  <si>
    <t>KA8080</t>
  </si>
  <si>
    <t>福瑞迪</t>
  </si>
  <si>
    <t>KB8080</t>
  </si>
  <si>
    <t>2.0×200×1260</t>
  </si>
  <si>
    <t>KA8081</t>
  </si>
  <si>
    <t>新捷达</t>
  </si>
  <si>
    <t>KA8085</t>
  </si>
  <si>
    <t>陆尊</t>
  </si>
  <si>
    <t>2.5×357×1710</t>
  </si>
  <si>
    <t>KB8085</t>
  </si>
  <si>
    <t>2.5×357×1580</t>
  </si>
  <si>
    <t>KA8086</t>
  </si>
  <si>
    <t>昂科拉</t>
  </si>
  <si>
    <t>2.5×357×1400</t>
  </si>
  <si>
    <t>KB8086</t>
  </si>
  <si>
    <t>2.0×357×1400</t>
  </si>
  <si>
    <t>KA8087</t>
  </si>
  <si>
    <t>爱唯欧</t>
  </si>
  <si>
    <t>3.5×416×1440</t>
  </si>
  <si>
    <t>KA8088</t>
  </si>
  <si>
    <t>科帕奇</t>
  </si>
  <si>
    <t>KB8088</t>
  </si>
  <si>
    <t>KA8089</t>
  </si>
  <si>
    <t>新英朗</t>
  </si>
  <si>
    <t>4.0×416×1280</t>
  </si>
  <si>
    <t>GKA8089</t>
  </si>
  <si>
    <t>底座片件A</t>
  </si>
  <si>
    <t>GKB8089</t>
  </si>
  <si>
    <t>底座片件B</t>
  </si>
  <si>
    <t>KA8090</t>
  </si>
  <si>
    <t>昂科威</t>
  </si>
  <si>
    <t>KB8090</t>
  </si>
  <si>
    <t>KA8091</t>
  </si>
  <si>
    <t>旗舰科鲁兹</t>
  </si>
  <si>
    <t>KB8091</t>
  </si>
  <si>
    <t>KD8091</t>
  </si>
  <si>
    <t>外加强板</t>
  </si>
  <si>
    <t>2.0×131×1260</t>
  </si>
  <si>
    <t>KA8092</t>
  </si>
  <si>
    <t>赛欧3</t>
  </si>
  <si>
    <t>3.5×416×1500</t>
  </si>
  <si>
    <t>KA8093</t>
  </si>
  <si>
    <t>经典科鲁兹</t>
  </si>
  <si>
    <t>2.5×416×1300</t>
  </si>
  <si>
    <t>KB8093</t>
  </si>
  <si>
    <t>KD8093</t>
  </si>
  <si>
    <t>KA8094</t>
  </si>
  <si>
    <t>16君越</t>
  </si>
  <si>
    <t>KB8094</t>
  </si>
  <si>
    <t>KA8095</t>
  </si>
  <si>
    <t>昂科雷</t>
  </si>
  <si>
    <t>KB8095</t>
  </si>
  <si>
    <t>GKA8095</t>
  </si>
  <si>
    <t>4.0×119×1260</t>
  </si>
  <si>
    <t>KA8096</t>
  </si>
  <si>
    <t>GL6</t>
  </si>
  <si>
    <t>4.0×416×1260</t>
  </si>
  <si>
    <t>KA8097</t>
  </si>
  <si>
    <t>GL8es</t>
  </si>
  <si>
    <t>2.5×357×1300</t>
  </si>
  <si>
    <t>KB8097</t>
  </si>
  <si>
    <t>KH8097</t>
  </si>
  <si>
    <t>焊接垫片</t>
  </si>
  <si>
    <t>5.0×138×1260</t>
  </si>
  <si>
    <t>KA8099</t>
  </si>
  <si>
    <t>18款凯越</t>
  </si>
  <si>
    <t>3.0×416×1260</t>
  </si>
  <si>
    <t>KA8101</t>
  </si>
  <si>
    <t>XT5</t>
  </si>
  <si>
    <t>KB8101</t>
  </si>
  <si>
    <t>KG8101</t>
  </si>
  <si>
    <t>拉伸轴</t>
  </si>
  <si>
    <t>KA8102</t>
  </si>
  <si>
    <t>昂科拉GX</t>
  </si>
  <si>
    <t>3.5×416×1100</t>
  </si>
  <si>
    <t>KA8103</t>
  </si>
  <si>
    <t>20款科沃兹</t>
  </si>
  <si>
    <t>4.0×357×1260</t>
  </si>
  <si>
    <t>KA8104</t>
  </si>
  <si>
    <t>XT6</t>
  </si>
  <si>
    <t>3.0×416×1400</t>
  </si>
  <si>
    <t>KB8104</t>
  </si>
  <si>
    <t>KG8104</t>
  </si>
  <si>
    <t>KA8105</t>
  </si>
  <si>
    <t>19款昂克拉/创酷</t>
  </si>
  <si>
    <t>4.0×416×550</t>
  </si>
  <si>
    <t>KA8107</t>
  </si>
  <si>
    <t>福克斯</t>
  </si>
  <si>
    <t>3.0×370×1260</t>
  </si>
  <si>
    <t>KB8107</t>
  </si>
  <si>
    <t>GKA8107</t>
  </si>
  <si>
    <t>3.0×303×1260</t>
  </si>
  <si>
    <t>KA8108</t>
  </si>
  <si>
    <t>嘉年华</t>
  </si>
  <si>
    <t>4.0×416×530</t>
  </si>
  <si>
    <t>KA8109</t>
  </si>
  <si>
    <t>新嘉年华</t>
  </si>
  <si>
    <t>3.5×416×1150</t>
  </si>
  <si>
    <t>KA8110</t>
  </si>
  <si>
    <t>蒙迪欧</t>
  </si>
  <si>
    <t>KB8110</t>
  </si>
  <si>
    <t>KC8110</t>
  </si>
  <si>
    <t>KA8111</t>
  </si>
  <si>
    <t>致胜</t>
  </si>
  <si>
    <t>3.0×416×1330</t>
  </si>
  <si>
    <t>KB8111</t>
  </si>
  <si>
    <t>GKA8111</t>
  </si>
  <si>
    <t>底座片件（大片）</t>
  </si>
  <si>
    <t>GKB8111</t>
  </si>
  <si>
    <t>底座片件（小片）</t>
  </si>
  <si>
    <t>BB8111</t>
  </si>
  <si>
    <t>大套外拉伸管</t>
  </si>
  <si>
    <t>KA8113</t>
  </si>
  <si>
    <t>新翼虎</t>
  </si>
  <si>
    <t>KB8113</t>
  </si>
  <si>
    <t>GKA8113</t>
  </si>
  <si>
    <t>KA8114</t>
  </si>
  <si>
    <t>翼博</t>
  </si>
  <si>
    <t>KA8115</t>
  </si>
  <si>
    <t>名图</t>
  </si>
  <si>
    <t>KB8115</t>
  </si>
  <si>
    <t>GKA8116</t>
  </si>
  <si>
    <t>13款蒙迪欧</t>
  </si>
  <si>
    <t>GKA8117</t>
  </si>
  <si>
    <t>15款锐界</t>
  </si>
  <si>
    <t>KA8118</t>
  </si>
  <si>
    <t>IX25</t>
  </si>
  <si>
    <t>3.5×416×630</t>
  </si>
  <si>
    <t>KA8119</t>
  </si>
  <si>
    <t>新胜达</t>
  </si>
  <si>
    <t>2.5×500×555</t>
  </si>
  <si>
    <t>KB8119</t>
  </si>
  <si>
    <t>2.0×500×535</t>
  </si>
  <si>
    <t>KC8119</t>
  </si>
  <si>
    <t>2.0×295×1260</t>
  </si>
  <si>
    <t>KD8119</t>
  </si>
  <si>
    <t>3.0×105×105</t>
  </si>
  <si>
    <t>KA8121</t>
  </si>
  <si>
    <t>御翔前下</t>
  </si>
  <si>
    <t>KB8121</t>
  </si>
  <si>
    <t>KC8121</t>
  </si>
  <si>
    <t>KA8122</t>
  </si>
  <si>
    <t>御翔前上</t>
  </si>
  <si>
    <t>KA8123</t>
  </si>
  <si>
    <t>新途胜</t>
  </si>
  <si>
    <t>4.5×500×630</t>
  </si>
  <si>
    <t>KA8124</t>
  </si>
  <si>
    <t>KB8124</t>
  </si>
  <si>
    <t>KD8124</t>
  </si>
  <si>
    <t>KA8125</t>
  </si>
  <si>
    <t>领动</t>
  </si>
  <si>
    <t>KA8126</t>
  </si>
  <si>
    <t>17款悦动</t>
  </si>
  <si>
    <t>KA8130</t>
  </si>
  <si>
    <t>索9</t>
  </si>
  <si>
    <t>JL8130</t>
  </si>
  <si>
    <t>KA8132</t>
  </si>
  <si>
    <t>2H000</t>
  </si>
  <si>
    <t>KB8132</t>
  </si>
  <si>
    <t>KA8131</t>
  </si>
  <si>
    <t>悦纳</t>
  </si>
  <si>
    <t>KA8134</t>
  </si>
  <si>
    <t>宝骏730</t>
  </si>
  <si>
    <t>KB8134</t>
  </si>
  <si>
    <t>KA8136</t>
  </si>
  <si>
    <t>福睿斯</t>
  </si>
  <si>
    <t>4.0×416×1500</t>
  </si>
  <si>
    <t>GKA8136</t>
  </si>
  <si>
    <t>KA8137</t>
  </si>
  <si>
    <t>风神AX7</t>
  </si>
  <si>
    <t>3.5×357×1500</t>
  </si>
  <si>
    <t>KB8137</t>
  </si>
  <si>
    <t>KCA8137</t>
  </si>
  <si>
    <t>KCB8137</t>
  </si>
  <si>
    <t>KA8138</t>
  </si>
  <si>
    <t>07款CRV</t>
  </si>
  <si>
    <t>KB8138</t>
  </si>
  <si>
    <t>3.0×500×1260</t>
  </si>
  <si>
    <t>KC8138A</t>
  </si>
  <si>
    <t>主板加强板</t>
  </si>
  <si>
    <t>KC8138B</t>
  </si>
  <si>
    <t>副板加强板</t>
  </si>
  <si>
    <t>GKA8138</t>
  </si>
  <si>
    <t>GKB8138</t>
  </si>
  <si>
    <t>GKC8138</t>
  </si>
  <si>
    <t>GKD8138</t>
  </si>
  <si>
    <t>3.0×200×1260</t>
  </si>
  <si>
    <t>KA8141</t>
  </si>
  <si>
    <t>元</t>
  </si>
  <si>
    <t>KA8142</t>
  </si>
  <si>
    <t>汉兰达</t>
  </si>
  <si>
    <t>KB8142</t>
  </si>
  <si>
    <t>KA8144</t>
  </si>
  <si>
    <t>14款威驰</t>
  </si>
  <si>
    <t>4.5×416×1260</t>
  </si>
  <si>
    <t>KA8145</t>
  </si>
  <si>
    <t>8代凯美瑞</t>
  </si>
  <si>
    <t>2.5×416×1550</t>
  </si>
  <si>
    <t>KB8145</t>
  </si>
  <si>
    <t>JL8145</t>
  </si>
  <si>
    <t>KA8147</t>
  </si>
  <si>
    <t>GL/GS</t>
  </si>
  <si>
    <t>KB8147</t>
  </si>
  <si>
    <t>2.0×416×1420</t>
  </si>
  <si>
    <t>KA8148</t>
  </si>
  <si>
    <t>18款远景</t>
  </si>
  <si>
    <t>KA8149</t>
  </si>
  <si>
    <t>领克</t>
  </si>
  <si>
    <t>3.5×416×1400</t>
  </si>
  <si>
    <t>KB8149</t>
  </si>
  <si>
    <t>KA8150</t>
  </si>
  <si>
    <t>缤越</t>
  </si>
  <si>
    <t>KA8151</t>
  </si>
  <si>
    <t>缤瑞</t>
  </si>
  <si>
    <t>KB8151</t>
  </si>
  <si>
    <t>KA8155</t>
  </si>
  <si>
    <t>17款RAV4</t>
  </si>
  <si>
    <t>KB8155</t>
  </si>
  <si>
    <t>KA8156</t>
  </si>
  <si>
    <t>19款卡罗拉</t>
  </si>
  <si>
    <t>KB8156</t>
  </si>
  <si>
    <t>JL8156</t>
  </si>
  <si>
    <t>KA8159</t>
  </si>
  <si>
    <t>KB8159</t>
  </si>
  <si>
    <t>JL8159</t>
  </si>
  <si>
    <t>塞纳</t>
  </si>
  <si>
    <t>KA8160</t>
  </si>
  <si>
    <t>KB8160</t>
  </si>
  <si>
    <t>KA8162</t>
  </si>
  <si>
    <t>传祺GS4</t>
  </si>
  <si>
    <t>KB8162</t>
  </si>
  <si>
    <t>KA8174</t>
  </si>
  <si>
    <t>昂克赛拉</t>
  </si>
  <si>
    <t>KB8174</t>
  </si>
  <si>
    <t>KA8175</t>
  </si>
  <si>
    <t>19昂克赛拉</t>
  </si>
  <si>
    <t>KB8175</t>
  </si>
  <si>
    <t>2.5×400×1260</t>
  </si>
  <si>
    <t>KD8175</t>
  </si>
  <si>
    <t>主板正面支架</t>
  </si>
  <si>
    <t xml:space="preserve">2.0×156×1260 </t>
  </si>
  <si>
    <t>EKA8175</t>
  </si>
  <si>
    <t>焊接管托架主板</t>
  </si>
  <si>
    <t>3.0×192×1260 1出2 12为1出2后的数量</t>
  </si>
  <si>
    <t>EKB8175</t>
  </si>
  <si>
    <t>焊接管托架副板</t>
  </si>
  <si>
    <t>3.0×120×1260 1出2 12为1出2后的数量</t>
  </si>
  <si>
    <t>KA8176</t>
  </si>
  <si>
    <t>11款CX-5</t>
  </si>
  <si>
    <t>KB8176</t>
  </si>
  <si>
    <t>18款CX-5</t>
  </si>
  <si>
    <t>KA8178</t>
  </si>
  <si>
    <t>CX-9</t>
  </si>
  <si>
    <t>KB8178</t>
  </si>
  <si>
    <t>KD8178</t>
  </si>
  <si>
    <t>4.0×125×1260</t>
  </si>
  <si>
    <t>EKA8178</t>
  </si>
  <si>
    <t>焊接管支架</t>
  </si>
  <si>
    <t>3.0×140×1260</t>
  </si>
  <si>
    <t>EKD8178</t>
  </si>
  <si>
    <t>焊接管支架加强板</t>
  </si>
  <si>
    <t>2.5×119×1260</t>
  </si>
  <si>
    <t>GKA8178</t>
  </si>
  <si>
    <t>JL8178</t>
  </si>
  <si>
    <t>KA8179</t>
  </si>
  <si>
    <t>轩逸电动版</t>
  </si>
  <si>
    <t>领克06</t>
  </si>
  <si>
    <t>KB8180</t>
  </si>
  <si>
    <t>KA8181</t>
  </si>
  <si>
    <t>宝骏310</t>
  </si>
  <si>
    <t>KB8181</t>
  </si>
  <si>
    <t>KA8186</t>
  </si>
  <si>
    <t>21款汉兰达/皇冠</t>
  </si>
  <si>
    <t>KB8186</t>
  </si>
  <si>
    <t>KA8187</t>
  </si>
  <si>
    <t>21款塞纳</t>
  </si>
  <si>
    <t>2.75×416×1260</t>
  </si>
  <si>
    <t>KB8187</t>
  </si>
  <si>
    <t>KA8189</t>
  </si>
  <si>
    <t>C-HR</t>
  </si>
  <si>
    <t>KB8189</t>
  </si>
  <si>
    <t>KI8189</t>
  </si>
  <si>
    <t>中间椭圆管</t>
  </si>
  <si>
    <t>KA8190</t>
  </si>
  <si>
    <t>KB8190</t>
  </si>
  <si>
    <t>KC8190</t>
  </si>
  <si>
    <t>内部加强板</t>
  </si>
  <si>
    <t>KA8192</t>
  </si>
  <si>
    <t>KA8193</t>
  </si>
  <si>
    <t>4.0×500×500</t>
  </si>
  <si>
    <t>KA8195</t>
  </si>
  <si>
    <t>KB8195</t>
  </si>
  <si>
    <t>KA8196</t>
  </si>
  <si>
    <t>KB8196</t>
  </si>
  <si>
    <t>KA8197</t>
  </si>
  <si>
    <t>KB8197</t>
  </si>
  <si>
    <t>KA8198</t>
  </si>
  <si>
    <t>KA8199</t>
  </si>
  <si>
    <t>KA8202</t>
  </si>
  <si>
    <t>9代雅阁</t>
  </si>
  <si>
    <t>3.0×416×1500</t>
  </si>
  <si>
    <t>KB8202</t>
  </si>
  <si>
    <t>KC8202</t>
  </si>
  <si>
    <t>GKA8202</t>
  </si>
  <si>
    <t>KA8204</t>
  </si>
  <si>
    <t>08款锋范</t>
  </si>
  <si>
    <t>KB8204</t>
  </si>
  <si>
    <t>GKA8204</t>
  </si>
  <si>
    <t>3.0×250×1260</t>
  </si>
  <si>
    <t>GKB8204</t>
  </si>
  <si>
    <t>KA8205</t>
  </si>
  <si>
    <t>14款飞度</t>
  </si>
  <si>
    <t>KA8206</t>
  </si>
  <si>
    <t>缤智/XRV</t>
  </si>
  <si>
    <t>KB8206</t>
  </si>
  <si>
    <t>KD8206</t>
  </si>
  <si>
    <t>KA8207</t>
  </si>
  <si>
    <t>12款思域</t>
  </si>
  <si>
    <t>KB8207</t>
  </si>
  <si>
    <t>JL8207</t>
  </si>
  <si>
    <t>KA8208</t>
  </si>
  <si>
    <t>13款杰德</t>
  </si>
  <si>
    <t>KB8208</t>
  </si>
  <si>
    <t>KC8208</t>
  </si>
  <si>
    <t>KD820801</t>
  </si>
  <si>
    <t>2.5×141×1260</t>
  </si>
  <si>
    <t>KD820802</t>
  </si>
  <si>
    <t>2.5×131×1260</t>
  </si>
  <si>
    <t>KA8209</t>
  </si>
  <si>
    <t>12款CRV</t>
  </si>
  <si>
    <t>KB8209</t>
  </si>
  <si>
    <t>2.5×500×1500</t>
  </si>
  <si>
    <t>KD8209</t>
  </si>
  <si>
    <t>KA8210</t>
  </si>
  <si>
    <t>15款CRV</t>
  </si>
  <si>
    <t>KB8210</t>
  </si>
  <si>
    <t>KA8211</t>
  </si>
  <si>
    <t>8代雅阁</t>
  </si>
  <si>
    <t>KA8212</t>
  </si>
  <si>
    <t>16款思域</t>
  </si>
  <si>
    <t>KB8212</t>
  </si>
  <si>
    <t>2.5×154×1260</t>
  </si>
  <si>
    <t>KD821201</t>
  </si>
  <si>
    <t>正面焊接支架</t>
  </si>
  <si>
    <t>3.0×145×1260</t>
  </si>
  <si>
    <t>KD821202</t>
  </si>
  <si>
    <t>侧面焊接支架L</t>
  </si>
  <si>
    <t>2.5×83×1260</t>
  </si>
  <si>
    <t>GKA8212</t>
  </si>
  <si>
    <t>GKB8212</t>
  </si>
  <si>
    <t>2.0×185×1260</t>
  </si>
  <si>
    <t>GKC8212</t>
  </si>
  <si>
    <t>2.0×162×1260</t>
  </si>
  <si>
    <t>JL8212</t>
  </si>
  <si>
    <t>KA8213</t>
  </si>
  <si>
    <t>17款CRV</t>
  </si>
  <si>
    <t>KB8213</t>
  </si>
  <si>
    <t>KI8213</t>
  </si>
  <si>
    <t>DP8213</t>
  </si>
  <si>
    <t>焊接轴垫片</t>
  </si>
  <si>
    <t>3.0×108×1260</t>
  </si>
  <si>
    <t>GKA8213</t>
  </si>
  <si>
    <t>大套底座支架</t>
  </si>
  <si>
    <t>1.5×96×1260</t>
  </si>
  <si>
    <t>KA8220</t>
  </si>
  <si>
    <t>0H020</t>
  </si>
  <si>
    <t>KA8221</t>
  </si>
  <si>
    <t>3.5×570×1400</t>
  </si>
  <si>
    <t>KB8221</t>
  </si>
  <si>
    <t>EKA8221</t>
  </si>
  <si>
    <t>EKB8221</t>
  </si>
  <si>
    <t>KA8223</t>
  </si>
  <si>
    <t>2K000</t>
  </si>
  <si>
    <t>KB8223</t>
  </si>
  <si>
    <t>2K200</t>
  </si>
  <si>
    <t>KD8224</t>
  </si>
  <si>
    <t>3.0×125×1260</t>
  </si>
  <si>
    <t>JL8224</t>
  </si>
  <si>
    <t>KA8225</t>
  </si>
  <si>
    <t>19款领动</t>
  </si>
  <si>
    <t>KA8226</t>
  </si>
  <si>
    <t>7代伊兰特</t>
  </si>
  <si>
    <t>3.5×416×1250</t>
  </si>
  <si>
    <t>KB8226</t>
  </si>
  <si>
    <t>2.5×357×1250</t>
  </si>
  <si>
    <t>KA8227</t>
  </si>
  <si>
    <t>10代索纳塔</t>
  </si>
  <si>
    <t>KA8228</t>
  </si>
  <si>
    <t>16款索兰托</t>
  </si>
  <si>
    <t>KB8228</t>
  </si>
  <si>
    <t>KC8228</t>
  </si>
  <si>
    <t>KD8228L</t>
  </si>
  <si>
    <t>焊接支架L</t>
  </si>
  <si>
    <t>KA8229</t>
  </si>
  <si>
    <t>1Y100</t>
  </si>
  <si>
    <t>KB8229</t>
  </si>
  <si>
    <t>KD8229</t>
  </si>
  <si>
    <t>KA8230</t>
  </si>
  <si>
    <t>19款胜达</t>
  </si>
  <si>
    <t>KB8230</t>
  </si>
  <si>
    <t>KD8230L</t>
  </si>
  <si>
    <t>KA8231</t>
  </si>
  <si>
    <t>B2000</t>
  </si>
  <si>
    <t>KB8231</t>
  </si>
  <si>
    <t>KA8232</t>
  </si>
  <si>
    <t xml:space="preserve">前下摆臂 </t>
  </si>
  <si>
    <t>A6200</t>
  </si>
  <si>
    <t>3.5×357×1250</t>
  </si>
  <si>
    <t>KB8232</t>
  </si>
  <si>
    <t>2.5×178×1250</t>
  </si>
  <si>
    <t>KA8234</t>
  </si>
  <si>
    <t>雅尊</t>
  </si>
  <si>
    <t>KB8234</t>
  </si>
  <si>
    <t>KC8234</t>
  </si>
  <si>
    <t>2.5×325×1260</t>
  </si>
  <si>
    <t>KA8235</t>
  </si>
  <si>
    <t>KA8236</t>
  </si>
  <si>
    <t>锐界</t>
  </si>
  <si>
    <t>KB8236</t>
  </si>
  <si>
    <t>KD8236</t>
  </si>
  <si>
    <t>主板焊接支架</t>
  </si>
  <si>
    <t>4.5×178×1260</t>
  </si>
  <si>
    <t>KA8237</t>
  </si>
  <si>
    <t>KB8237</t>
  </si>
  <si>
    <t>KA8238</t>
  </si>
  <si>
    <t>KB8238</t>
  </si>
  <si>
    <t>EKA8238</t>
  </si>
  <si>
    <t>托架主板</t>
  </si>
  <si>
    <t>EKB8238</t>
  </si>
  <si>
    <t>托架副板</t>
  </si>
  <si>
    <t>KA8240</t>
  </si>
  <si>
    <t>嘉华</t>
  </si>
  <si>
    <t>KB8240</t>
  </si>
  <si>
    <t>KC8240</t>
  </si>
  <si>
    <t>KA8241</t>
  </si>
  <si>
    <t>3.0×357×1250</t>
  </si>
  <si>
    <t>KB8241</t>
  </si>
  <si>
    <t>KA8245</t>
  </si>
  <si>
    <t>KB8245</t>
  </si>
  <si>
    <t>2.0×156×1250</t>
  </si>
  <si>
    <t>8245-3.0</t>
  </si>
  <si>
    <t>KA8245-3.0</t>
  </si>
  <si>
    <t>3.0×416×1250</t>
  </si>
  <si>
    <t>KA8252</t>
  </si>
  <si>
    <t>KB8252</t>
  </si>
  <si>
    <t>KC8252</t>
  </si>
  <si>
    <t>2.5×125×1260</t>
  </si>
  <si>
    <t>KD8252</t>
  </si>
  <si>
    <t>EKA8252</t>
  </si>
  <si>
    <t>焊接管支架片件</t>
  </si>
  <si>
    <t>2.5×178×1260</t>
  </si>
  <si>
    <t>EKB8252</t>
  </si>
  <si>
    <t>EKC8252</t>
  </si>
  <si>
    <t>DP8252</t>
  </si>
  <si>
    <t>偏心轴焊接垫片</t>
  </si>
  <si>
    <t>JL8252</t>
  </si>
  <si>
    <t>KEA8252</t>
  </si>
  <si>
    <t>KEB8252</t>
  </si>
  <si>
    <t>KEC8252</t>
  </si>
  <si>
    <t>KA8253</t>
  </si>
  <si>
    <t>KB8253</t>
  </si>
  <si>
    <t>KC8253</t>
  </si>
  <si>
    <t>KD8253</t>
  </si>
  <si>
    <t>侧面支架</t>
  </si>
  <si>
    <t>6.0×86×1260</t>
  </si>
  <si>
    <t>KA8254</t>
  </si>
  <si>
    <t>3.5×630×750</t>
  </si>
  <si>
    <t>KB8254</t>
  </si>
  <si>
    <t>KD8254</t>
  </si>
  <si>
    <t>JL8254</t>
  </si>
  <si>
    <t>KA8255</t>
  </si>
  <si>
    <t>KB8255</t>
  </si>
  <si>
    <t>KC8255</t>
  </si>
  <si>
    <t>内加强板</t>
  </si>
  <si>
    <t>2.0×75×1260</t>
  </si>
  <si>
    <t>KD8255</t>
  </si>
  <si>
    <t>臂体侧面支架</t>
  </si>
  <si>
    <t>EKA8255</t>
  </si>
  <si>
    <t>EKB8255</t>
  </si>
  <si>
    <t>JL8255</t>
  </si>
  <si>
    <t>2×75×1260</t>
  </si>
  <si>
    <t>KA8257</t>
  </si>
  <si>
    <t>KD8257</t>
  </si>
  <si>
    <t>KA8258</t>
  </si>
  <si>
    <t>KB8258</t>
  </si>
  <si>
    <t>KA8259</t>
  </si>
  <si>
    <t>KB8259</t>
  </si>
  <si>
    <t>KA8262</t>
  </si>
  <si>
    <t>KB8262</t>
  </si>
  <si>
    <t>KA8263</t>
  </si>
  <si>
    <t>KB8263</t>
  </si>
  <si>
    <t>KC8263</t>
  </si>
  <si>
    <t>3.5×166×1260</t>
  </si>
  <si>
    <t>DP8263</t>
  </si>
  <si>
    <t>大套焊接轴垫片</t>
  </si>
  <si>
    <t>3.5×147×1260</t>
  </si>
  <si>
    <t>JL8263</t>
  </si>
  <si>
    <t>JL8268</t>
  </si>
  <si>
    <t>KA8268</t>
  </si>
  <si>
    <t>KB8268</t>
  </si>
  <si>
    <t>KC8268</t>
  </si>
  <si>
    <t>2.5×208×1260</t>
  </si>
  <si>
    <t>KA8270</t>
  </si>
  <si>
    <t>KB8270</t>
  </si>
  <si>
    <t>KC8270</t>
  </si>
  <si>
    <t>加强管</t>
  </si>
  <si>
    <t>3.0×100×1260</t>
  </si>
  <si>
    <t>KA8271</t>
  </si>
  <si>
    <t>KB8271</t>
  </si>
  <si>
    <t>2.5×357×1500</t>
  </si>
  <si>
    <t>KC8271</t>
  </si>
  <si>
    <t>4.0×108×1260</t>
  </si>
  <si>
    <t>KA8273</t>
  </si>
  <si>
    <t>KB8273</t>
  </si>
  <si>
    <t>KC8273</t>
  </si>
  <si>
    <t>8273-340</t>
  </si>
  <si>
    <t>KA8265</t>
  </si>
  <si>
    <t>Soul 2020</t>
  </si>
  <si>
    <t>KA8274</t>
  </si>
  <si>
    <t>3.5×416×1560</t>
  </si>
  <si>
    <t>KB8274</t>
  </si>
  <si>
    <t>KA8277</t>
  </si>
  <si>
    <t>H6运动版</t>
  </si>
  <si>
    <t>KB8277</t>
  </si>
  <si>
    <t>GKA8278</t>
  </si>
  <si>
    <t>17款H6</t>
  </si>
  <si>
    <t>GKB8278</t>
  </si>
  <si>
    <t>GKC8278</t>
  </si>
  <si>
    <t>GKD8278</t>
  </si>
  <si>
    <t>KA8279</t>
  </si>
  <si>
    <t>KB8279</t>
  </si>
  <si>
    <t>KA8280</t>
  </si>
  <si>
    <t>KB8280</t>
  </si>
  <si>
    <t>KA8286</t>
  </si>
  <si>
    <t>KA8288</t>
  </si>
  <si>
    <t>KB8288</t>
  </si>
  <si>
    <t>KA8291</t>
  </si>
  <si>
    <t>KB8291</t>
  </si>
  <si>
    <t>KA8296</t>
  </si>
  <si>
    <t>KA8297</t>
  </si>
  <si>
    <t>KB8297</t>
  </si>
  <si>
    <t>KA8298</t>
  </si>
  <si>
    <t>KB8298</t>
  </si>
  <si>
    <t>8299</t>
  </si>
  <si>
    <t>KA8299</t>
  </si>
  <si>
    <t>8299-02</t>
  </si>
  <si>
    <t>KB8299-1</t>
  </si>
  <si>
    <t>副板-1</t>
  </si>
  <si>
    <t>2.5×147×1250</t>
  </si>
  <si>
    <t>KB8299-2</t>
  </si>
  <si>
    <t>副板-2</t>
  </si>
  <si>
    <t>2.5×192×1250</t>
  </si>
  <si>
    <t>KA8300</t>
  </si>
  <si>
    <t>KB8300</t>
  </si>
  <si>
    <t>KA8301</t>
  </si>
  <si>
    <t>E6</t>
  </si>
  <si>
    <t>KA8303</t>
  </si>
  <si>
    <t>KB8303</t>
  </si>
  <si>
    <t>付板</t>
  </si>
  <si>
    <t>KA8304</t>
  </si>
  <si>
    <t>KB8304</t>
  </si>
  <si>
    <t>KD8304</t>
  </si>
  <si>
    <t>中部加强管</t>
  </si>
  <si>
    <t>KA8310</t>
  </si>
  <si>
    <t>KA8311</t>
  </si>
  <si>
    <t>KA8314</t>
  </si>
  <si>
    <t>KB8314</t>
  </si>
  <si>
    <t>EKA8314</t>
  </si>
  <si>
    <t>EKB8314</t>
  </si>
  <si>
    <t>KA8315</t>
  </si>
  <si>
    <t>2.75×312×1250</t>
  </si>
  <si>
    <t>KB8315</t>
  </si>
  <si>
    <t>KG8315</t>
  </si>
  <si>
    <t>3.0×227×1250</t>
  </si>
  <si>
    <t>KA8316</t>
  </si>
  <si>
    <t>海鸥</t>
  </si>
  <si>
    <t>KA8317</t>
  </si>
  <si>
    <t>E2</t>
  </si>
  <si>
    <t>KA8319</t>
  </si>
  <si>
    <t>艾瑞泽8</t>
  </si>
  <si>
    <t>KB8319</t>
  </si>
  <si>
    <t>KA8321</t>
  </si>
  <si>
    <t>19款POLO</t>
  </si>
  <si>
    <t>KA8322</t>
  </si>
  <si>
    <t>老POLO</t>
  </si>
  <si>
    <t>KB8322</t>
  </si>
  <si>
    <t>KA8326</t>
  </si>
  <si>
    <t>KA8328</t>
  </si>
  <si>
    <t>KA8330</t>
  </si>
  <si>
    <t>EKA8330</t>
  </si>
  <si>
    <t>KA8347</t>
  </si>
  <si>
    <t>4.0×250×1260</t>
  </si>
  <si>
    <t>KA8324</t>
  </si>
  <si>
    <t>ID3</t>
  </si>
  <si>
    <t>KA8325</t>
  </si>
  <si>
    <t>ID6</t>
  </si>
  <si>
    <t>KA8344</t>
  </si>
  <si>
    <t>KB8344</t>
  </si>
  <si>
    <t>KA8345</t>
  </si>
  <si>
    <t>3.0×575×1260</t>
  </si>
  <si>
    <t>KB8345</t>
  </si>
  <si>
    <t>3.0×540×1260</t>
  </si>
  <si>
    <t>EKA8345</t>
  </si>
  <si>
    <t>3.5×208×1260</t>
  </si>
  <si>
    <t>EKB8345</t>
  </si>
  <si>
    <t>3.5×277×1260</t>
  </si>
  <si>
    <t>EKC8345</t>
  </si>
  <si>
    <t>3.5×113×1260</t>
  </si>
  <si>
    <t>KA8350</t>
  </si>
  <si>
    <t>荣威350</t>
  </si>
  <si>
    <t>KB8350</t>
  </si>
  <si>
    <t>KA8354</t>
  </si>
  <si>
    <t>KB8354</t>
  </si>
  <si>
    <t>EKA8354</t>
  </si>
  <si>
    <t>EKB8354</t>
  </si>
  <si>
    <t>EKC8354</t>
  </si>
  <si>
    <t>KA8355</t>
  </si>
  <si>
    <t>荣威360</t>
  </si>
  <si>
    <t>KA8363</t>
  </si>
  <si>
    <t>5.0×416×630</t>
  </si>
  <si>
    <t>KA8364</t>
  </si>
  <si>
    <t>KA8375</t>
  </si>
  <si>
    <t>4H000</t>
  </si>
  <si>
    <t>KB8375</t>
  </si>
  <si>
    <t>KC8375</t>
  </si>
  <si>
    <t>秦L</t>
  </si>
  <si>
    <t>KA8402</t>
  </si>
  <si>
    <t>KA9023</t>
  </si>
  <si>
    <t>COBALT</t>
  </si>
  <si>
    <t>KB9023</t>
  </si>
  <si>
    <t>KD9023</t>
  </si>
  <si>
    <t>小衬套支架</t>
  </si>
  <si>
    <t>产品编码</t>
  </si>
  <si>
    <t>产品名称</t>
  </si>
  <si>
    <t>单价</t>
  </si>
  <si>
    <t>毛重</t>
  </si>
  <si>
    <t>净重</t>
  </si>
  <si>
    <t>废料</t>
  </si>
  <si>
    <t>比例</t>
  </si>
  <si>
    <t>金额</t>
  </si>
  <si>
    <t>黄色标注是根据电泳件重量减去焊接管重量的96%计算</t>
  </si>
  <si>
    <t>中套片件</t>
  </si>
  <si>
    <t>弧形</t>
  </si>
  <si>
    <t>叉形</t>
  </si>
  <si>
    <t>钩形</t>
  </si>
  <si>
    <t>53.75-4.5</t>
  </si>
  <si>
    <t>中心管</t>
  </si>
  <si>
    <t>垫片</t>
  </si>
  <si>
    <t>MS加强板</t>
  </si>
  <si>
    <t>底座片件1</t>
  </si>
  <si>
    <t>底座片件2</t>
  </si>
  <si>
    <t>2*312*1250=4</t>
  </si>
  <si>
    <t>底座片件3</t>
  </si>
  <si>
    <t>底座片件4</t>
  </si>
  <si>
    <t>焊接管支架长</t>
  </si>
  <si>
    <t>焊接管支架短</t>
  </si>
  <si>
    <t>中间管</t>
  </si>
  <si>
    <t xml:space="preserve">底座片件 </t>
  </si>
  <si>
    <t>衬套轴垫片</t>
  </si>
  <si>
    <t>大衬套U型支架</t>
  </si>
  <si>
    <t>副班</t>
  </si>
  <si>
    <t>8274-1</t>
  </si>
  <si>
    <t>自己做成本61</t>
  </si>
  <si>
    <t>中板</t>
  </si>
  <si>
    <t>8321-1</t>
  </si>
  <si>
    <t>焊接管支架主板</t>
  </si>
  <si>
    <t>焊接管支架副板</t>
  </si>
  <si>
    <t>下料片件净重2.85KG</t>
  </si>
  <si>
    <t>材料</t>
  </si>
  <si>
    <t>8072试用版</t>
  </si>
  <si>
    <t>3.5*357*1600</t>
  </si>
  <si>
    <t>SPHC</t>
  </si>
  <si>
    <t>特殊裁板</t>
  </si>
  <si>
    <t>8238激光</t>
  </si>
  <si>
    <t>委外激光切割尺寸</t>
  </si>
  <si>
    <t>8363激光</t>
  </si>
  <si>
    <t>5.0×1250×2500</t>
  </si>
  <si>
    <t>不确定是否可以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</si>
</sst>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_ "/>
    <numFmt numFmtId="178" formatCode="0.00_);[Red]\(0.00\)"/>
    <numFmt numFmtId="179" formatCode="0.000_);[Red]\(0.000\)"/>
  </numFmts>
  <fonts count="33">
    <font>
      <sz val="12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 (正文)"/>
      <charset val="134"/>
    </font>
    <font>
      <sz val="12"/>
      <color rgb="FFFF0000"/>
      <name val="宋体 (正文)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0" fillId="3" borderId="0" xfId="0" applyFont="1" applyFill="1">
      <alignment vertical="center"/>
    </xf>
    <xf numFmtId="0" fontId="0" fillId="3" borderId="0" xfId="0" applyFill="1">
      <alignment vertical="center"/>
    </xf>
    <xf numFmtId="10" fontId="0" fillId="3" borderId="0" xfId="0" applyNumberFormat="1" applyFill="1">
      <alignment vertical="center"/>
    </xf>
    <xf numFmtId="0" fontId="2" fillId="0" borderId="0" xfId="0" applyFont="1">
      <alignment vertical="center"/>
    </xf>
    <xf numFmtId="178" fontId="5" fillId="0" borderId="1" xfId="0" applyNumberFormat="1" applyFont="1" applyBorder="1">
      <alignment vertical="center"/>
    </xf>
    <xf numFmtId="178" fontId="6" fillId="0" borderId="1" xfId="0" applyNumberFormat="1" applyFont="1" applyBorder="1">
      <alignment vertical="center"/>
    </xf>
    <xf numFmtId="0" fontId="7" fillId="0" borderId="0" xfId="0" applyFont="1">
      <alignment vertical="center"/>
    </xf>
    <xf numFmtId="10" fontId="7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0" fontId="8" fillId="0" borderId="0" xfId="0" applyFont="1">
      <alignment vertical="center"/>
    </xf>
    <xf numFmtId="49" fontId="0" fillId="0" borderId="0" xfId="0" applyNumberFormat="1" applyFont="1" applyAlignment="1">
      <alignment horizontal="center" vertical="center"/>
    </xf>
    <xf numFmtId="178" fontId="5" fillId="3" borderId="0" xfId="0" applyNumberFormat="1" applyFont="1" applyFill="1">
      <alignment vertical="center"/>
    </xf>
    <xf numFmtId="178" fontId="0" fillId="0" borderId="0" xfId="0" applyNumberFormat="1">
      <alignment vertical="center"/>
    </xf>
    <xf numFmtId="0" fontId="0" fillId="0" borderId="0" xfId="0" applyFont="1" applyAlignment="1"/>
    <xf numFmtId="176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177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>
      <alignment vertical="center"/>
    </xf>
    <xf numFmtId="178" fontId="1" fillId="4" borderId="0" xfId="0" applyNumberFormat="1" applyFont="1" applyFill="1" applyAlignment="1">
      <alignment horizontal="left" vertical="center"/>
    </xf>
    <xf numFmtId="177" fontId="1" fillId="4" borderId="0" xfId="0" applyNumberFormat="1" applyFont="1" applyFill="1" applyAlignment="1">
      <alignment horizontal="left" vertical="center"/>
    </xf>
    <xf numFmtId="178" fontId="1" fillId="3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76" fontId="1" fillId="4" borderId="0" xfId="0" applyNumberFormat="1" applyFont="1" applyFill="1" applyAlignment="1">
      <alignment horizontal="left" vertical="center"/>
    </xf>
    <xf numFmtId="179" fontId="1" fillId="3" borderId="0" xfId="0" applyNumberFormat="1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>
      <alignment vertical="center"/>
    </xf>
    <xf numFmtId="0" fontId="1" fillId="0" borderId="1" xfId="0" applyFont="1" applyBorder="1">
      <alignment vertical="center"/>
    </xf>
    <xf numFmtId="177" fontId="4" fillId="4" borderId="0" xfId="0" applyNumberFormat="1" applyFont="1" applyFill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178" fontId="3" fillId="4" borderId="0" xfId="0" applyNumberFormat="1" applyFont="1" applyFill="1" applyAlignment="1">
      <alignment horizontal="left" vertical="center"/>
    </xf>
    <xf numFmtId="178" fontId="4" fillId="4" borderId="0" xfId="0" applyNumberFormat="1" applyFont="1" applyFill="1" applyAlignment="1">
      <alignment horizontal="left" vertical="center"/>
    </xf>
    <xf numFmtId="178" fontId="3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76" fontId="3" fillId="4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8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ont="1" applyFill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Z719"/>
  <sheetViews>
    <sheetView tabSelected="1" workbookViewId="0">
      <pane xSplit="2" ySplit="1" topLeftCell="C507" activePane="bottomRight" state="frozen"/>
      <selection/>
      <selection pane="topRight"/>
      <selection pane="bottomLeft"/>
      <selection pane="bottomRight" activeCell="E528" sqref="E528"/>
    </sheetView>
  </sheetViews>
  <sheetFormatPr defaultColWidth="10.1875" defaultRowHeight="17.6"/>
  <cols>
    <col min="1" max="2" width="10.1875" style="8"/>
    <col min="3" max="3" width="14" style="8" customWidth="1"/>
    <col min="4" max="4" width="17.5" style="13" customWidth="1"/>
    <col min="5" max="5" width="18.1875" style="13" customWidth="1"/>
    <col min="6" max="6" width="39.8125" style="13" customWidth="1"/>
    <col min="7" max="7" width="15.6875" style="8" customWidth="1"/>
    <col min="8" max="8" width="11.6875" style="36" customWidth="1"/>
    <col min="9" max="9" width="10.1875" style="10"/>
    <col min="10" max="11" width="10.1875" style="8"/>
    <col min="12" max="12" width="36.6875" style="13" customWidth="1"/>
    <col min="13" max="13" width="10.1875" style="8"/>
    <col min="14" max="14" width="11.5" style="8" customWidth="1"/>
    <col min="15" max="15" width="10.1875" style="8"/>
    <col min="16" max="16" width="15.8125" style="8" customWidth="1"/>
    <col min="17" max="17" width="16" style="8" customWidth="1"/>
    <col min="18" max="18" width="15.8125" style="8" customWidth="1"/>
    <col min="19" max="24" width="10.1875" style="8"/>
    <col min="25" max="25" width="11.6875" style="8" customWidth="1"/>
    <col min="26" max="26" width="10.1875" style="8"/>
    <col min="27" max="259" width="10.1875" style="13"/>
    <col min="260" max="16384" width="10.1875" style="2"/>
  </cols>
  <sheetData>
    <row r="1" s="1" customFormat="1" ht="21" customHeight="1" spans="1:12">
      <c r="A1" s="4" t="s">
        <v>0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7" t="s">
        <v>7</v>
      </c>
      <c r="J1" s="1" t="s">
        <v>8</v>
      </c>
      <c r="K1" s="1" t="s">
        <v>9</v>
      </c>
      <c r="L1" s="5" t="s">
        <v>10</v>
      </c>
    </row>
    <row r="2" ht="21" customHeight="1" spans="1:12">
      <c r="A2" s="8">
        <v>6001</v>
      </c>
      <c r="B2" s="8" t="s">
        <v>11</v>
      </c>
      <c r="C2" s="8" t="s">
        <v>12</v>
      </c>
      <c r="D2" s="13" t="s">
        <v>13</v>
      </c>
      <c r="E2" s="13" t="s">
        <v>14</v>
      </c>
      <c r="F2" s="13" t="s">
        <v>15</v>
      </c>
      <c r="G2" s="8">
        <v>10</v>
      </c>
      <c r="H2" s="9">
        <f>J2*K2*7.85*I2/G2/1000000</f>
        <v>1.236375</v>
      </c>
      <c r="I2" s="10">
        <v>2.5</v>
      </c>
      <c r="J2" s="8">
        <v>500</v>
      </c>
      <c r="K2" s="8">
        <v>1260</v>
      </c>
    </row>
    <row r="3" ht="21" customHeight="1" spans="1:12">
      <c r="A3" s="8">
        <v>6002</v>
      </c>
      <c r="C3" s="8" t="s">
        <v>12</v>
      </c>
      <c r="D3" s="13" t="s">
        <v>16</v>
      </c>
      <c r="H3" s="9"/>
    </row>
    <row r="4" ht="21" customHeight="1" spans="1:12">
      <c r="A4" s="8">
        <v>6003</v>
      </c>
      <c r="C4" s="8" t="s">
        <v>12</v>
      </c>
      <c r="D4" s="13" t="s">
        <v>16</v>
      </c>
      <c r="H4" s="9"/>
    </row>
    <row r="5" ht="21" customHeight="1" spans="1:12">
      <c r="A5" s="8">
        <v>6004</v>
      </c>
      <c r="B5" s="8" t="s">
        <v>17</v>
      </c>
      <c r="C5" s="8" t="s">
        <v>18</v>
      </c>
      <c r="D5" s="13" t="s">
        <v>19</v>
      </c>
      <c r="E5" s="13" t="s">
        <v>14</v>
      </c>
      <c r="F5" s="13" t="s">
        <v>20</v>
      </c>
      <c r="G5" s="8">
        <v>6</v>
      </c>
      <c r="H5" s="9">
        <f>J5*K5*7.85*I5/G5/1000000</f>
        <v>2.9425725</v>
      </c>
      <c r="I5" s="10">
        <v>3.5</v>
      </c>
      <c r="J5" s="8">
        <v>510</v>
      </c>
      <c r="K5" s="8">
        <v>1260</v>
      </c>
    </row>
    <row r="6" ht="21" customHeight="1" spans="1:12">
      <c r="A6" s="8">
        <v>6005</v>
      </c>
      <c r="B6" s="8" t="s">
        <v>21</v>
      </c>
      <c r="C6" s="8" t="s">
        <v>12</v>
      </c>
      <c r="D6" s="13" t="s">
        <v>13</v>
      </c>
      <c r="E6" s="13" t="s">
        <v>22</v>
      </c>
      <c r="F6" s="13" t="s">
        <v>23</v>
      </c>
      <c r="G6" s="8">
        <v>25</v>
      </c>
      <c r="H6" s="9">
        <f>J6*K6*7.85*I6/G6/1000000</f>
        <v>0.28169568</v>
      </c>
      <c r="I6" s="10">
        <v>4</v>
      </c>
      <c r="J6" s="8">
        <v>178</v>
      </c>
      <c r="K6" s="8">
        <v>1260</v>
      </c>
    </row>
    <row r="7" ht="21" customHeight="1" spans="1:12">
      <c r="A7" s="8">
        <v>6006</v>
      </c>
      <c r="B7" s="8" t="s">
        <v>24</v>
      </c>
      <c r="C7" s="8" t="s">
        <v>25</v>
      </c>
      <c r="D7" s="13" t="s">
        <v>26</v>
      </c>
      <c r="E7" s="13" t="s">
        <v>14</v>
      </c>
      <c r="F7" s="13" t="s">
        <v>27</v>
      </c>
      <c r="G7" s="8">
        <v>8</v>
      </c>
      <c r="H7" s="9">
        <f>J7*K7*7.85*I7/G7/1000000</f>
        <v>2.169838125</v>
      </c>
      <c r="I7" s="10">
        <v>4.5</v>
      </c>
      <c r="J7" s="8">
        <v>390</v>
      </c>
      <c r="K7" s="8">
        <v>1260</v>
      </c>
    </row>
    <row r="8" ht="21" customHeight="1" spans="1:12">
      <c r="A8" s="8">
        <v>6007</v>
      </c>
      <c r="C8" s="8" t="s">
        <v>25</v>
      </c>
      <c r="D8" s="13" t="s">
        <v>26</v>
      </c>
      <c r="H8" s="9"/>
    </row>
    <row r="9" ht="21" customHeight="1" spans="1:12">
      <c r="A9" s="8">
        <v>6008</v>
      </c>
      <c r="B9" s="8" t="s">
        <v>28</v>
      </c>
      <c r="C9" s="8" t="s">
        <v>29</v>
      </c>
      <c r="D9" s="13" t="s">
        <v>26</v>
      </c>
      <c r="E9" s="13" t="s">
        <v>14</v>
      </c>
      <c r="F9" s="13" t="s">
        <v>30</v>
      </c>
      <c r="G9" s="8">
        <v>9</v>
      </c>
      <c r="H9" s="9">
        <f>J9*K9*7.85*I9/G9/1000000</f>
        <v>1.600144</v>
      </c>
      <c r="I9" s="10">
        <v>3.5</v>
      </c>
      <c r="J9" s="8">
        <v>416</v>
      </c>
      <c r="K9" s="8">
        <v>1260</v>
      </c>
    </row>
    <row r="10" ht="21" customHeight="1" spans="1:12">
      <c r="A10" s="8">
        <v>6008</v>
      </c>
      <c r="B10" s="8" t="s">
        <v>31</v>
      </c>
      <c r="C10" s="8" t="s">
        <v>29</v>
      </c>
      <c r="D10" s="13" t="s">
        <v>26</v>
      </c>
      <c r="E10" s="13" t="s">
        <v>32</v>
      </c>
      <c r="F10" s="13" t="s">
        <v>33</v>
      </c>
      <c r="G10" s="8">
        <v>9</v>
      </c>
      <c r="H10" s="9">
        <f>J10*K10*7.85*I10/G10/1000000</f>
        <v>1.14296</v>
      </c>
      <c r="I10" s="10">
        <v>2.5</v>
      </c>
      <c r="J10" s="8">
        <v>416</v>
      </c>
      <c r="K10" s="8">
        <v>1260</v>
      </c>
    </row>
    <row r="11" ht="21" customHeight="1" spans="1:12">
      <c r="A11" s="8">
        <v>6009</v>
      </c>
      <c r="B11" s="8" t="s">
        <v>34</v>
      </c>
      <c r="D11" s="13" t="s">
        <v>35</v>
      </c>
      <c r="E11" s="13" t="s">
        <v>14</v>
      </c>
      <c r="F11" s="13" t="s">
        <v>15</v>
      </c>
      <c r="G11" s="8">
        <v>4</v>
      </c>
      <c r="H11" s="9">
        <f>J11*K11*7.85*I11/G11/1000000</f>
        <v>3.0909375</v>
      </c>
      <c r="I11" s="10">
        <v>2.5</v>
      </c>
      <c r="J11" s="8">
        <v>500</v>
      </c>
      <c r="K11" s="8">
        <v>1260</v>
      </c>
    </row>
    <row r="12" ht="21" customHeight="1" spans="1:12">
      <c r="A12" s="8">
        <v>6009</v>
      </c>
      <c r="B12" s="8" t="s">
        <v>36</v>
      </c>
      <c r="D12" s="13" t="s">
        <v>35</v>
      </c>
      <c r="E12" s="13" t="s">
        <v>32</v>
      </c>
      <c r="F12" s="13" t="s">
        <v>37</v>
      </c>
      <c r="G12" s="8">
        <v>5</v>
      </c>
      <c r="H12" s="9">
        <f>J12*K12*7.85*I12/G12/1000000</f>
        <v>1.6458624</v>
      </c>
      <c r="I12" s="10">
        <v>2</v>
      </c>
      <c r="J12" s="8">
        <v>416</v>
      </c>
      <c r="K12" s="8">
        <v>1260</v>
      </c>
      <c r="L12" s="13" t="s">
        <v>38</v>
      </c>
    </row>
    <row r="13" ht="21" customHeight="1" spans="1:12">
      <c r="A13" s="8">
        <v>6011</v>
      </c>
      <c r="C13" s="8" t="s">
        <v>39</v>
      </c>
      <c r="D13" s="13" t="s">
        <v>40</v>
      </c>
      <c r="H13" s="9"/>
    </row>
    <row r="14" ht="21" customHeight="1" spans="1:12">
      <c r="A14" s="8">
        <v>6012</v>
      </c>
      <c r="B14" s="8" t="s">
        <v>41</v>
      </c>
      <c r="C14" s="8" t="s">
        <v>42</v>
      </c>
      <c r="D14" s="13" t="s">
        <v>43</v>
      </c>
      <c r="E14" s="13" t="s">
        <v>14</v>
      </c>
      <c r="F14" s="13" t="s">
        <v>44</v>
      </c>
      <c r="G14" s="8">
        <v>4</v>
      </c>
      <c r="H14" s="9">
        <f t="shared" ref="H14:H19" si="0">J14*K14*7.85*I14/G14/1000000</f>
        <v>4.3273125</v>
      </c>
      <c r="I14" s="10">
        <v>3.5</v>
      </c>
      <c r="J14" s="8">
        <v>500</v>
      </c>
      <c r="K14" s="8">
        <v>1260</v>
      </c>
    </row>
    <row r="15" ht="21" customHeight="1" spans="1:12">
      <c r="A15" s="8">
        <v>6025</v>
      </c>
      <c r="B15" s="8" t="s">
        <v>45</v>
      </c>
      <c r="C15" s="8" t="s">
        <v>18</v>
      </c>
      <c r="E15" s="13" t="s">
        <v>14</v>
      </c>
      <c r="F15" s="13" t="s">
        <v>44</v>
      </c>
      <c r="G15" s="8">
        <v>6</v>
      </c>
      <c r="H15" s="9">
        <f t="shared" si="0"/>
        <v>2.884875</v>
      </c>
      <c r="I15" s="10">
        <v>3.5</v>
      </c>
      <c r="J15" s="8">
        <v>500</v>
      </c>
      <c r="K15" s="8">
        <v>1260</v>
      </c>
    </row>
    <row r="16" ht="21" customHeight="1" spans="1:12">
      <c r="A16" s="8">
        <v>6035</v>
      </c>
      <c r="B16" s="8" t="s">
        <v>46</v>
      </c>
      <c r="C16" s="8" t="s">
        <v>18</v>
      </c>
      <c r="E16" s="13" t="s">
        <v>14</v>
      </c>
      <c r="F16" s="13" t="s">
        <v>44</v>
      </c>
      <c r="G16" s="8">
        <v>7</v>
      </c>
      <c r="H16" s="9">
        <f t="shared" si="0"/>
        <v>2.47275</v>
      </c>
      <c r="I16" s="10">
        <v>3.5</v>
      </c>
      <c r="J16" s="8">
        <v>500</v>
      </c>
      <c r="K16" s="8">
        <v>1260</v>
      </c>
    </row>
    <row r="17" ht="21" customHeight="1" spans="1:12">
      <c r="A17" s="16">
        <v>6036</v>
      </c>
      <c r="B17" s="16" t="s">
        <v>47</v>
      </c>
      <c r="C17" s="16" t="s">
        <v>18</v>
      </c>
      <c r="D17" s="15"/>
      <c r="E17" s="15" t="s">
        <v>14</v>
      </c>
      <c r="F17" s="15" t="s">
        <v>48</v>
      </c>
      <c r="G17" s="16">
        <v>8</v>
      </c>
      <c r="H17" s="37">
        <f t="shared" si="0"/>
        <v>2.614933125</v>
      </c>
      <c r="I17" s="38">
        <v>4.5</v>
      </c>
      <c r="J17" s="16">
        <v>470</v>
      </c>
      <c r="K17" s="16">
        <v>1260</v>
      </c>
    </row>
    <row r="18" ht="21" customHeight="1" spans="1:12">
      <c r="A18" s="8">
        <v>614501</v>
      </c>
      <c r="B18" s="8" t="s">
        <v>49</v>
      </c>
      <c r="C18" s="8" t="s">
        <v>12</v>
      </c>
      <c r="E18" s="13" t="s">
        <v>50</v>
      </c>
      <c r="F18" s="13" t="s">
        <v>23</v>
      </c>
      <c r="G18" s="8">
        <v>20</v>
      </c>
      <c r="H18" s="9">
        <f t="shared" si="0"/>
        <v>0.3521196</v>
      </c>
      <c r="I18" s="10">
        <v>4</v>
      </c>
      <c r="J18" s="8">
        <v>178</v>
      </c>
      <c r="K18" s="8">
        <v>1260</v>
      </c>
    </row>
    <row r="19" ht="21" customHeight="1" spans="1:12">
      <c r="A19" s="8">
        <v>614502</v>
      </c>
      <c r="B19" s="8" t="s">
        <v>51</v>
      </c>
      <c r="C19" s="8" t="s">
        <v>12</v>
      </c>
      <c r="E19" s="13" t="s">
        <v>52</v>
      </c>
      <c r="F19" s="13" t="s">
        <v>23</v>
      </c>
      <c r="G19" s="8">
        <v>20</v>
      </c>
      <c r="H19" s="9">
        <f t="shared" si="0"/>
        <v>0.3521196</v>
      </c>
      <c r="I19" s="10">
        <v>4</v>
      </c>
      <c r="J19" s="8">
        <v>178</v>
      </c>
      <c r="K19" s="8">
        <v>1260</v>
      </c>
    </row>
    <row r="20" ht="21" customHeight="1" spans="1:12">
      <c r="A20" s="8">
        <v>6155</v>
      </c>
      <c r="B20" s="8" t="s">
        <v>53</v>
      </c>
      <c r="C20" s="8" t="s">
        <v>12</v>
      </c>
      <c r="F20" s="13" t="s">
        <v>54</v>
      </c>
      <c r="G20" s="8">
        <v>7</v>
      </c>
      <c r="H20" s="9"/>
      <c r="I20" s="10">
        <v>4</v>
      </c>
      <c r="J20" s="8">
        <v>500</v>
      </c>
      <c r="K20" s="8">
        <v>1260</v>
      </c>
    </row>
    <row r="21" ht="21" customHeight="1" spans="1:12">
      <c r="A21" s="8">
        <v>8001</v>
      </c>
      <c r="B21" s="8" t="s">
        <v>55</v>
      </c>
      <c r="C21" s="8" t="s">
        <v>42</v>
      </c>
      <c r="D21" s="8" t="s">
        <v>56</v>
      </c>
      <c r="E21" s="8" t="s">
        <v>14</v>
      </c>
      <c r="F21" s="13" t="s">
        <v>57</v>
      </c>
      <c r="G21" s="8">
        <v>8</v>
      </c>
      <c r="H21" s="9">
        <f t="shared" ref="H21:H38" si="1">J21*K21*7.84999999999999*I21/G21/1000000</f>
        <v>1.53075</v>
      </c>
      <c r="I21" s="10">
        <v>2.5</v>
      </c>
      <c r="J21" s="8">
        <v>416</v>
      </c>
      <c r="K21" s="8">
        <v>1500</v>
      </c>
      <c r="L21" s="1"/>
    </row>
    <row r="22" ht="21" customHeight="1" spans="1:12">
      <c r="A22" s="8">
        <v>8001</v>
      </c>
      <c r="B22" s="8" t="s">
        <v>58</v>
      </c>
      <c r="C22" s="8" t="s">
        <v>42</v>
      </c>
      <c r="D22" s="8" t="s">
        <v>56</v>
      </c>
      <c r="E22" s="8" t="s">
        <v>32</v>
      </c>
      <c r="F22" s="13" t="s">
        <v>59</v>
      </c>
      <c r="G22" s="8">
        <v>12</v>
      </c>
      <c r="H22" s="9">
        <f t="shared" si="1"/>
        <v>0.968794666666665</v>
      </c>
      <c r="I22" s="10">
        <v>2</v>
      </c>
      <c r="J22" s="8">
        <v>416</v>
      </c>
      <c r="K22" s="8">
        <v>1780</v>
      </c>
      <c r="L22" s="1"/>
    </row>
    <row r="23" ht="21" customHeight="1" spans="1:12">
      <c r="A23" s="8">
        <v>8002</v>
      </c>
      <c r="B23" s="8" t="s">
        <v>60</v>
      </c>
      <c r="C23" s="8" t="s">
        <v>42</v>
      </c>
      <c r="D23" s="8" t="s">
        <v>61</v>
      </c>
      <c r="E23" s="8" t="s">
        <v>14</v>
      </c>
      <c r="F23" s="13" t="s">
        <v>62</v>
      </c>
      <c r="G23" s="8">
        <v>6</v>
      </c>
      <c r="H23" s="9">
        <f t="shared" si="1"/>
        <v>2.579824</v>
      </c>
      <c r="I23" s="10">
        <v>3</v>
      </c>
      <c r="J23" s="8">
        <v>416</v>
      </c>
      <c r="K23" s="8">
        <v>1580</v>
      </c>
      <c r="L23" s="1"/>
    </row>
    <row r="24" ht="21" customHeight="1" spans="1:12">
      <c r="A24" s="8">
        <v>8003</v>
      </c>
      <c r="B24" s="8" t="s">
        <v>63</v>
      </c>
      <c r="C24" s="8" t="s">
        <v>42</v>
      </c>
      <c r="D24" s="8" t="s">
        <v>64</v>
      </c>
      <c r="E24" s="8" t="s">
        <v>14</v>
      </c>
      <c r="F24" s="13" t="s">
        <v>65</v>
      </c>
      <c r="G24" s="8">
        <v>4</v>
      </c>
      <c r="H24" s="9">
        <f t="shared" si="1"/>
        <v>2.64831525</v>
      </c>
      <c r="I24" s="10">
        <v>3</v>
      </c>
      <c r="J24" s="8">
        <v>357</v>
      </c>
      <c r="K24" s="8">
        <v>1260</v>
      </c>
      <c r="L24" s="1"/>
    </row>
    <row r="25" ht="21" customHeight="1" spans="1:12">
      <c r="A25" s="8">
        <v>8003</v>
      </c>
      <c r="B25" s="8" t="s">
        <v>66</v>
      </c>
      <c r="C25" s="8" t="s">
        <v>42</v>
      </c>
      <c r="D25" s="8" t="s">
        <v>64</v>
      </c>
      <c r="E25" s="8" t="s">
        <v>32</v>
      </c>
      <c r="F25" s="13" t="s">
        <v>59</v>
      </c>
      <c r="G25" s="8">
        <v>14</v>
      </c>
      <c r="H25" s="9">
        <f t="shared" si="1"/>
        <v>0.830395428571427</v>
      </c>
      <c r="I25" s="10">
        <v>2</v>
      </c>
      <c r="J25" s="8">
        <v>416</v>
      </c>
      <c r="K25" s="8">
        <v>1780</v>
      </c>
      <c r="L25" s="1"/>
    </row>
    <row r="26" ht="21" customHeight="1" spans="1:12">
      <c r="A26" s="8">
        <v>8004</v>
      </c>
      <c r="B26" s="8" t="s">
        <v>67</v>
      </c>
      <c r="C26" s="8" t="s">
        <v>42</v>
      </c>
      <c r="D26" s="8" t="s">
        <v>68</v>
      </c>
      <c r="E26" s="8" t="s">
        <v>14</v>
      </c>
      <c r="F26" s="13" t="s">
        <v>69</v>
      </c>
      <c r="G26" s="8">
        <v>2</v>
      </c>
      <c r="H26" s="9">
        <f t="shared" si="1"/>
        <v>2.8574</v>
      </c>
      <c r="I26" s="10">
        <v>3.5</v>
      </c>
      <c r="J26" s="8">
        <v>416</v>
      </c>
      <c r="K26" s="8">
        <v>500</v>
      </c>
      <c r="L26" s="1"/>
    </row>
    <row r="27" ht="21" customHeight="1" spans="1:12">
      <c r="A27" s="8">
        <v>8005</v>
      </c>
      <c r="B27" s="8" t="s">
        <v>70</v>
      </c>
      <c r="C27" s="8" t="s">
        <v>42</v>
      </c>
      <c r="D27" s="8" t="s">
        <v>71</v>
      </c>
      <c r="E27" s="8" t="s">
        <v>14</v>
      </c>
      <c r="F27" s="13" t="s">
        <v>72</v>
      </c>
      <c r="G27" s="8">
        <v>6</v>
      </c>
      <c r="H27" s="9">
        <f t="shared" si="1"/>
        <v>1.28583</v>
      </c>
      <c r="I27" s="10">
        <v>2.5</v>
      </c>
      <c r="J27" s="8">
        <v>312</v>
      </c>
      <c r="K27" s="8">
        <v>1260</v>
      </c>
      <c r="L27" s="1"/>
    </row>
    <row r="28" ht="21" customHeight="1" spans="1:12">
      <c r="A28" s="8">
        <v>8005</v>
      </c>
      <c r="B28" s="8" t="s">
        <v>73</v>
      </c>
      <c r="C28" s="8" t="s">
        <v>42</v>
      </c>
      <c r="D28" s="8" t="s">
        <v>71</v>
      </c>
      <c r="E28" s="8" t="s">
        <v>32</v>
      </c>
      <c r="F28" s="13" t="s">
        <v>72</v>
      </c>
      <c r="G28" s="8">
        <v>6</v>
      </c>
      <c r="H28" s="9">
        <f t="shared" si="1"/>
        <v>1.28583</v>
      </c>
      <c r="I28" s="10">
        <v>2.5</v>
      </c>
      <c r="J28" s="8">
        <v>312</v>
      </c>
      <c r="K28" s="8">
        <v>1260</v>
      </c>
      <c r="L28" s="1"/>
    </row>
    <row r="29" ht="21" customHeight="1" spans="1:12">
      <c r="A29" s="8">
        <v>8005</v>
      </c>
      <c r="B29" s="8" t="s">
        <v>74</v>
      </c>
      <c r="C29" s="8" t="s">
        <v>42</v>
      </c>
      <c r="D29" s="8" t="s">
        <v>71</v>
      </c>
      <c r="E29" s="8" t="s">
        <v>75</v>
      </c>
      <c r="F29" s="13" t="s">
        <v>76</v>
      </c>
      <c r="G29" s="8">
        <v>20</v>
      </c>
      <c r="H29" s="9">
        <f t="shared" si="1"/>
        <v>0.181747125</v>
      </c>
      <c r="I29" s="10">
        <v>2.5</v>
      </c>
      <c r="J29" s="8">
        <v>147</v>
      </c>
      <c r="K29" s="8">
        <v>1260</v>
      </c>
      <c r="L29" s="1"/>
    </row>
    <row r="30" ht="21" customHeight="1" spans="1:12">
      <c r="A30" s="8">
        <v>8005</v>
      </c>
      <c r="B30" s="8" t="s">
        <v>74</v>
      </c>
      <c r="C30" s="8" t="s">
        <v>42</v>
      </c>
      <c r="D30" s="8" t="s">
        <v>71</v>
      </c>
      <c r="E30" s="8" t="s">
        <v>75</v>
      </c>
      <c r="F30" s="13" t="s">
        <v>76</v>
      </c>
      <c r="G30" s="8">
        <v>20</v>
      </c>
      <c r="H30" s="9">
        <f t="shared" si="1"/>
        <v>0.181747125</v>
      </c>
      <c r="I30" s="10">
        <v>2.5</v>
      </c>
      <c r="J30" s="8">
        <v>147</v>
      </c>
      <c r="K30" s="8">
        <v>1260</v>
      </c>
      <c r="L30" s="1"/>
    </row>
    <row r="31" ht="21" customHeight="1" spans="1:12">
      <c r="A31" s="8">
        <v>800501</v>
      </c>
      <c r="B31" s="8" t="s">
        <v>77</v>
      </c>
      <c r="C31" s="8" t="s">
        <v>42</v>
      </c>
      <c r="D31" s="8" t="s">
        <v>78</v>
      </c>
      <c r="E31" s="8" t="s">
        <v>79</v>
      </c>
      <c r="F31" s="13" t="s">
        <v>80</v>
      </c>
      <c r="G31" s="8">
        <v>30</v>
      </c>
      <c r="H31" s="9">
        <f t="shared" si="1"/>
        <v>0.22831725</v>
      </c>
      <c r="I31" s="10">
        <v>2.5</v>
      </c>
      <c r="J31" s="8">
        <v>277</v>
      </c>
      <c r="K31" s="8">
        <v>1260</v>
      </c>
      <c r="L31" s="1"/>
    </row>
    <row r="32" ht="21" customHeight="1" spans="1:12">
      <c r="A32" s="8">
        <v>8006</v>
      </c>
      <c r="B32" s="8" t="s">
        <v>81</v>
      </c>
      <c r="C32" s="8" t="s">
        <v>42</v>
      </c>
      <c r="D32" s="8" t="s">
        <v>82</v>
      </c>
      <c r="E32" s="8" t="s">
        <v>14</v>
      </c>
      <c r="F32" s="13" t="s">
        <v>83</v>
      </c>
      <c r="G32" s="8">
        <v>4</v>
      </c>
      <c r="H32" s="9">
        <f t="shared" si="1"/>
        <v>3.089701125</v>
      </c>
      <c r="I32" s="10">
        <v>3.5</v>
      </c>
      <c r="J32" s="8">
        <v>357</v>
      </c>
      <c r="K32" s="8">
        <v>1260</v>
      </c>
      <c r="L32" s="1"/>
    </row>
    <row r="33" ht="21" customHeight="1" spans="1:12">
      <c r="A33" s="8">
        <v>8006</v>
      </c>
      <c r="B33" s="8" t="s">
        <v>84</v>
      </c>
      <c r="C33" s="8" t="s">
        <v>42</v>
      </c>
      <c r="D33" s="8" t="s">
        <v>82</v>
      </c>
      <c r="E33" s="8" t="s">
        <v>32</v>
      </c>
      <c r="F33" s="13" t="s">
        <v>85</v>
      </c>
      <c r="G33" s="8">
        <v>8</v>
      </c>
      <c r="H33" s="9">
        <f t="shared" si="1"/>
        <v>0.882771749999999</v>
      </c>
      <c r="I33" s="10">
        <v>2</v>
      </c>
      <c r="J33" s="8">
        <v>357</v>
      </c>
      <c r="K33" s="8">
        <v>1260</v>
      </c>
      <c r="L33" s="1"/>
    </row>
    <row r="34" ht="21" customHeight="1" spans="1:12">
      <c r="A34" s="8">
        <v>8007</v>
      </c>
      <c r="B34" s="8" t="s">
        <v>86</v>
      </c>
      <c r="C34" s="8" t="s">
        <v>42</v>
      </c>
      <c r="D34" s="8" t="s">
        <v>87</v>
      </c>
      <c r="E34" s="8" t="s">
        <v>14</v>
      </c>
      <c r="F34" s="13" t="s">
        <v>88</v>
      </c>
      <c r="G34" s="8">
        <v>6</v>
      </c>
      <c r="H34" s="9">
        <f t="shared" si="1"/>
        <v>1.90493333333333</v>
      </c>
      <c r="I34" s="10">
        <v>2.5</v>
      </c>
      <c r="J34" s="8">
        <v>416</v>
      </c>
      <c r="K34" s="8">
        <v>1400</v>
      </c>
      <c r="L34" s="1"/>
    </row>
    <row r="35" ht="21" customHeight="1" spans="1:12">
      <c r="A35" s="8">
        <v>8007</v>
      </c>
      <c r="B35" s="8" t="s">
        <v>89</v>
      </c>
      <c r="C35" s="8" t="s">
        <v>42</v>
      </c>
      <c r="D35" s="8" t="s">
        <v>87</v>
      </c>
      <c r="E35" s="8" t="s">
        <v>32</v>
      </c>
      <c r="F35" s="13" t="s">
        <v>59</v>
      </c>
      <c r="G35" s="8">
        <v>8</v>
      </c>
      <c r="H35" s="9">
        <f t="shared" si="1"/>
        <v>1.453192</v>
      </c>
      <c r="I35" s="10">
        <v>2</v>
      </c>
      <c r="J35" s="8">
        <v>416</v>
      </c>
      <c r="K35" s="8">
        <v>1780</v>
      </c>
      <c r="L35" s="1"/>
    </row>
    <row r="36" ht="21" customHeight="1" spans="1:12">
      <c r="A36" s="8">
        <v>8007</v>
      </c>
      <c r="B36" s="8" t="s">
        <v>90</v>
      </c>
      <c r="C36" s="8" t="s">
        <v>42</v>
      </c>
      <c r="D36" s="8" t="s">
        <v>87</v>
      </c>
      <c r="E36" s="8" t="s">
        <v>91</v>
      </c>
      <c r="F36" s="13" t="s">
        <v>92</v>
      </c>
      <c r="G36" s="8">
        <v>39</v>
      </c>
      <c r="H36" s="9">
        <f t="shared" si="1"/>
        <v>0.194776615384615</v>
      </c>
      <c r="I36" s="10">
        <v>4</v>
      </c>
      <c r="J36" s="8">
        <v>192</v>
      </c>
      <c r="K36" s="8">
        <v>1260</v>
      </c>
      <c r="L36" s="1"/>
    </row>
    <row r="37" ht="21" customHeight="1" spans="1:12">
      <c r="A37" s="8">
        <v>8008</v>
      </c>
      <c r="B37" s="8" t="s">
        <v>93</v>
      </c>
      <c r="C37" s="8" t="s">
        <v>42</v>
      </c>
      <c r="D37" s="8" t="s">
        <v>94</v>
      </c>
      <c r="E37" s="8" t="s">
        <v>14</v>
      </c>
      <c r="F37" s="13" t="s">
        <v>57</v>
      </c>
      <c r="G37" s="8">
        <v>8</v>
      </c>
      <c r="H37" s="9">
        <f t="shared" si="1"/>
        <v>1.53075</v>
      </c>
      <c r="I37" s="10">
        <v>2.5</v>
      </c>
      <c r="J37" s="8">
        <v>416</v>
      </c>
      <c r="K37" s="8">
        <v>1500</v>
      </c>
      <c r="L37" s="1"/>
    </row>
    <row r="38" ht="21" customHeight="1" spans="1:12">
      <c r="A38" s="8">
        <v>8008</v>
      </c>
      <c r="B38" s="8" t="s">
        <v>95</v>
      </c>
      <c r="C38" s="8" t="s">
        <v>42</v>
      </c>
      <c r="D38" s="8" t="s">
        <v>94</v>
      </c>
      <c r="E38" s="8" t="s">
        <v>32</v>
      </c>
      <c r="F38" s="13" t="s">
        <v>57</v>
      </c>
      <c r="G38" s="8">
        <v>8</v>
      </c>
      <c r="H38" s="9">
        <f t="shared" si="1"/>
        <v>1.53075</v>
      </c>
      <c r="I38" s="10">
        <v>2.5</v>
      </c>
      <c r="J38" s="8">
        <v>416</v>
      </c>
      <c r="K38" s="8">
        <v>1500</v>
      </c>
      <c r="L38" s="1"/>
    </row>
    <row r="39" ht="21" customHeight="1" spans="1:12">
      <c r="A39" s="8">
        <v>8008</v>
      </c>
      <c r="B39" s="8" t="s">
        <v>96</v>
      </c>
      <c r="C39" s="8" t="s">
        <v>42</v>
      </c>
      <c r="D39" s="8" t="s">
        <v>94</v>
      </c>
      <c r="E39" s="8" t="s">
        <v>91</v>
      </c>
      <c r="H39" s="9"/>
      <c r="L39" s="1"/>
    </row>
    <row r="40" ht="21" customHeight="1" spans="1:12">
      <c r="A40" s="8">
        <v>8009</v>
      </c>
      <c r="B40" s="8" t="s">
        <v>97</v>
      </c>
      <c r="C40" s="8" t="s">
        <v>25</v>
      </c>
      <c r="D40" s="8" t="s">
        <v>98</v>
      </c>
      <c r="E40" s="8" t="s">
        <v>14</v>
      </c>
      <c r="F40" s="13" t="s">
        <v>99</v>
      </c>
      <c r="G40" s="8">
        <v>12</v>
      </c>
      <c r="H40" s="9">
        <v>0.86</v>
      </c>
      <c r="I40" s="10">
        <v>2.5</v>
      </c>
      <c r="J40" s="8">
        <v>390</v>
      </c>
      <c r="K40" s="8">
        <v>1260</v>
      </c>
      <c r="L40" s="1" t="s">
        <v>100</v>
      </c>
    </row>
    <row r="41" ht="21" customHeight="1" spans="1:12">
      <c r="A41" s="8">
        <v>8010</v>
      </c>
      <c r="B41" s="8" t="s">
        <v>101</v>
      </c>
      <c r="C41" s="8" t="s">
        <v>102</v>
      </c>
      <c r="D41" s="8" t="s">
        <v>103</v>
      </c>
      <c r="E41" s="8" t="s">
        <v>14</v>
      </c>
      <c r="F41" s="13" t="s">
        <v>104</v>
      </c>
      <c r="G41" s="8">
        <v>4</v>
      </c>
      <c r="H41" s="9">
        <f t="shared" ref="H41:H49" si="2">J41*K41*7.84999999999999*I41/G41/1000000</f>
        <v>1.54546875</v>
      </c>
      <c r="I41" s="10">
        <v>2.5</v>
      </c>
      <c r="J41" s="8">
        <v>250</v>
      </c>
      <c r="K41" s="8">
        <v>1260</v>
      </c>
      <c r="L41" s="1"/>
    </row>
    <row r="42" ht="21" customHeight="1" spans="1:12">
      <c r="A42" s="8">
        <v>8010</v>
      </c>
      <c r="B42" s="8" t="s">
        <v>105</v>
      </c>
      <c r="C42" s="8" t="s">
        <v>102</v>
      </c>
      <c r="D42" s="8" t="s">
        <v>103</v>
      </c>
      <c r="E42" s="8" t="s">
        <v>32</v>
      </c>
      <c r="F42" s="13" t="s">
        <v>106</v>
      </c>
      <c r="G42" s="8">
        <v>8</v>
      </c>
      <c r="H42" s="9">
        <f t="shared" si="2"/>
        <v>0.618187499999999</v>
      </c>
      <c r="I42" s="10">
        <v>2</v>
      </c>
      <c r="J42" s="8">
        <v>250</v>
      </c>
      <c r="K42" s="8">
        <v>1260</v>
      </c>
      <c r="L42" s="1"/>
    </row>
    <row r="43" ht="21" customHeight="1" spans="1:12">
      <c r="A43" s="8">
        <v>8011</v>
      </c>
      <c r="B43" s="8" t="s">
        <v>107</v>
      </c>
      <c r="C43" s="8" t="s">
        <v>29</v>
      </c>
      <c r="D43" s="8" t="s">
        <v>108</v>
      </c>
      <c r="E43" s="8" t="s">
        <v>14</v>
      </c>
      <c r="F43" s="13" t="s">
        <v>80</v>
      </c>
      <c r="G43" s="8">
        <v>4</v>
      </c>
      <c r="H43" s="9">
        <f t="shared" si="2"/>
        <v>1.712379375</v>
      </c>
      <c r="I43" s="10">
        <v>2.5</v>
      </c>
      <c r="J43" s="8">
        <v>277</v>
      </c>
      <c r="K43" s="8">
        <v>1260</v>
      </c>
      <c r="L43" s="1"/>
    </row>
    <row r="44" ht="21" customHeight="1" spans="1:12">
      <c r="A44" s="8">
        <v>8011</v>
      </c>
      <c r="B44" s="8" t="s">
        <v>109</v>
      </c>
      <c r="C44" s="8" t="s">
        <v>29</v>
      </c>
      <c r="D44" s="8" t="s">
        <v>108</v>
      </c>
      <c r="E44" s="8" t="s">
        <v>32</v>
      </c>
      <c r="F44" s="13" t="s">
        <v>110</v>
      </c>
      <c r="G44" s="8">
        <v>16</v>
      </c>
      <c r="H44" s="9">
        <f t="shared" si="2"/>
        <v>0.385748999999999</v>
      </c>
      <c r="I44" s="10">
        <v>2</v>
      </c>
      <c r="J44" s="8">
        <v>312</v>
      </c>
      <c r="K44" s="8">
        <v>1260</v>
      </c>
      <c r="L44" s="1"/>
    </row>
    <row r="45" ht="21" customHeight="1" spans="1:12">
      <c r="A45" s="8">
        <v>8011</v>
      </c>
      <c r="B45" s="8" t="s">
        <v>111</v>
      </c>
      <c r="C45" s="8" t="s">
        <v>29</v>
      </c>
      <c r="D45" s="8" t="s">
        <v>108</v>
      </c>
      <c r="E45" s="8" t="s">
        <v>112</v>
      </c>
      <c r="F45" s="13" t="s">
        <v>80</v>
      </c>
      <c r="G45" s="8">
        <v>21</v>
      </c>
      <c r="H45" s="9">
        <f t="shared" si="2"/>
        <v>0.3261675</v>
      </c>
      <c r="I45" s="10">
        <v>2.5</v>
      </c>
      <c r="J45" s="8">
        <v>277</v>
      </c>
      <c r="K45" s="8">
        <v>1260</v>
      </c>
      <c r="L45" s="1"/>
    </row>
    <row r="46" ht="21" customHeight="1" spans="1:12">
      <c r="A46" s="8">
        <v>8012</v>
      </c>
      <c r="B46" s="8" t="s">
        <v>113</v>
      </c>
      <c r="C46" s="8" t="s">
        <v>42</v>
      </c>
      <c r="D46" s="8" t="s">
        <v>114</v>
      </c>
      <c r="E46" s="8" t="s">
        <v>14</v>
      </c>
      <c r="F46" s="13" t="s">
        <v>110</v>
      </c>
      <c r="G46" s="8">
        <v>4</v>
      </c>
      <c r="H46" s="9">
        <f t="shared" si="2"/>
        <v>1.542996</v>
      </c>
      <c r="I46" s="10">
        <v>2</v>
      </c>
      <c r="J46" s="8">
        <v>312</v>
      </c>
      <c r="K46" s="8">
        <v>1260</v>
      </c>
      <c r="L46" s="1"/>
    </row>
    <row r="47" ht="21" customHeight="1" spans="1:12">
      <c r="A47" s="8">
        <v>8012</v>
      </c>
      <c r="B47" s="8" t="s">
        <v>115</v>
      </c>
      <c r="C47" s="8" t="s">
        <v>42</v>
      </c>
      <c r="D47" s="8" t="s">
        <v>114</v>
      </c>
      <c r="E47" s="8" t="s">
        <v>32</v>
      </c>
      <c r="F47" s="13" t="s">
        <v>110</v>
      </c>
      <c r="G47" s="8">
        <v>4</v>
      </c>
      <c r="H47" s="9">
        <f t="shared" si="2"/>
        <v>1.542996</v>
      </c>
      <c r="I47" s="10">
        <v>2</v>
      </c>
      <c r="J47" s="8">
        <v>312</v>
      </c>
      <c r="K47" s="8">
        <v>1260</v>
      </c>
      <c r="L47" s="1"/>
    </row>
    <row r="48" ht="21" customHeight="1" spans="1:12">
      <c r="A48" s="8">
        <v>8013</v>
      </c>
      <c r="B48" s="8" t="s">
        <v>116</v>
      </c>
      <c r="C48" s="8" t="s">
        <v>42</v>
      </c>
      <c r="D48" s="8" t="s">
        <v>117</v>
      </c>
      <c r="E48" s="8" t="s">
        <v>14</v>
      </c>
      <c r="F48" s="13" t="s">
        <v>57</v>
      </c>
      <c r="G48" s="8">
        <v>7</v>
      </c>
      <c r="H48" s="9">
        <f t="shared" si="2"/>
        <v>1.74942857142857</v>
      </c>
      <c r="I48" s="10">
        <v>2.5</v>
      </c>
      <c r="J48" s="8">
        <v>416</v>
      </c>
      <c r="K48" s="8">
        <v>1500</v>
      </c>
      <c r="L48" s="1"/>
    </row>
    <row r="49" ht="23.75" customHeight="1" spans="1:12">
      <c r="A49" s="8">
        <v>8013</v>
      </c>
      <c r="B49" s="8" t="s">
        <v>118</v>
      </c>
      <c r="C49" s="8" t="s">
        <v>42</v>
      </c>
      <c r="D49" s="8" t="s">
        <v>117</v>
      </c>
      <c r="E49" s="8" t="s">
        <v>32</v>
      </c>
      <c r="F49" s="13" t="s">
        <v>59</v>
      </c>
      <c r="G49" s="8">
        <v>10</v>
      </c>
      <c r="H49" s="9">
        <f t="shared" si="2"/>
        <v>1.1625536</v>
      </c>
      <c r="I49" s="10">
        <v>2</v>
      </c>
      <c r="J49" s="8">
        <v>416</v>
      </c>
      <c r="K49" s="8">
        <v>1780</v>
      </c>
      <c r="L49" s="1"/>
    </row>
    <row r="50" ht="21" customHeight="1" spans="1:12">
      <c r="A50" s="39">
        <v>8013</v>
      </c>
      <c r="B50" s="39" t="s">
        <v>119</v>
      </c>
      <c r="C50" s="39" t="s">
        <v>42</v>
      </c>
      <c r="D50" s="39" t="s">
        <v>117</v>
      </c>
      <c r="E50" s="39" t="s">
        <v>91</v>
      </c>
      <c r="F50" s="40"/>
      <c r="G50" s="39"/>
      <c r="H50" s="9"/>
      <c r="I50" s="41"/>
      <c r="J50" s="39"/>
      <c r="K50" s="39"/>
      <c r="L50" s="1"/>
    </row>
    <row r="51" ht="21" customHeight="1" spans="1:12">
      <c r="A51" s="8">
        <v>8015</v>
      </c>
      <c r="B51" s="8" t="s">
        <v>120</v>
      </c>
      <c r="C51" s="8" t="s">
        <v>42</v>
      </c>
      <c r="D51" s="8" t="s">
        <v>121</v>
      </c>
      <c r="E51" s="8" t="s">
        <v>14</v>
      </c>
      <c r="F51" s="13" t="s">
        <v>122</v>
      </c>
      <c r="G51" s="8">
        <v>4</v>
      </c>
      <c r="H51" s="9">
        <f t="shared" ref="H51:H56" si="3">J51*K51*7.84999999999999*I51/G51/1000000</f>
        <v>2.206929375</v>
      </c>
      <c r="I51" s="10">
        <v>2.5</v>
      </c>
      <c r="J51" s="8">
        <v>357</v>
      </c>
      <c r="K51" s="8">
        <v>1260</v>
      </c>
      <c r="L51" s="1"/>
    </row>
    <row r="52" ht="21" customHeight="1" spans="1:12">
      <c r="A52" s="8">
        <v>8015</v>
      </c>
      <c r="B52" s="8" t="s">
        <v>123</v>
      </c>
      <c r="C52" s="8" t="s">
        <v>42</v>
      </c>
      <c r="D52" s="8" t="s">
        <v>121</v>
      </c>
      <c r="E52" s="8" t="s">
        <v>32</v>
      </c>
      <c r="F52" s="13" t="s">
        <v>72</v>
      </c>
      <c r="G52" s="8">
        <v>6</v>
      </c>
      <c r="H52" s="9">
        <f t="shared" si="3"/>
        <v>1.28583</v>
      </c>
      <c r="I52" s="10">
        <v>2.5</v>
      </c>
      <c r="J52" s="8">
        <v>312</v>
      </c>
      <c r="K52" s="8">
        <v>1260</v>
      </c>
      <c r="L52" s="1"/>
    </row>
    <row r="53" ht="21" customHeight="1" spans="1:12">
      <c r="A53" s="8">
        <v>8016</v>
      </c>
      <c r="B53" s="8" t="s">
        <v>124</v>
      </c>
      <c r="C53" s="8" t="s">
        <v>42</v>
      </c>
      <c r="D53" s="8" t="s">
        <v>125</v>
      </c>
      <c r="E53" s="8" t="s">
        <v>14</v>
      </c>
      <c r="F53" s="13" t="s">
        <v>83</v>
      </c>
      <c r="G53" s="8">
        <v>4</v>
      </c>
      <c r="H53" s="9">
        <f t="shared" si="3"/>
        <v>3.089701125</v>
      </c>
      <c r="I53" s="10">
        <v>3.5</v>
      </c>
      <c r="J53" s="8">
        <v>357</v>
      </c>
      <c r="K53" s="8">
        <v>1260</v>
      </c>
      <c r="L53" s="1"/>
    </row>
    <row r="54" ht="21" customHeight="1" spans="1:12">
      <c r="A54" s="8">
        <v>8016</v>
      </c>
      <c r="B54" s="8" t="s">
        <v>126</v>
      </c>
      <c r="C54" s="8" t="s">
        <v>42</v>
      </c>
      <c r="D54" s="8" t="s">
        <v>125</v>
      </c>
      <c r="E54" s="8" t="s">
        <v>127</v>
      </c>
      <c r="F54" s="13" t="s">
        <v>85</v>
      </c>
      <c r="G54" s="8">
        <v>8</v>
      </c>
      <c r="H54" s="9">
        <f t="shared" si="3"/>
        <v>0.882771749999999</v>
      </c>
      <c r="I54" s="10">
        <v>2</v>
      </c>
      <c r="J54" s="8">
        <v>357</v>
      </c>
      <c r="K54" s="8">
        <v>1260</v>
      </c>
      <c r="L54" s="1"/>
    </row>
    <row r="55" ht="21" customHeight="1" spans="1:12">
      <c r="A55" s="8">
        <v>8017</v>
      </c>
      <c r="B55" s="8" t="s">
        <v>116</v>
      </c>
      <c r="C55" s="8" t="s">
        <v>42</v>
      </c>
      <c r="D55" s="8" t="s">
        <v>128</v>
      </c>
      <c r="E55" s="8" t="s">
        <v>14</v>
      </c>
      <c r="F55" s="13" t="s">
        <v>57</v>
      </c>
      <c r="G55" s="8">
        <v>7</v>
      </c>
      <c r="H55" s="9">
        <f t="shared" si="3"/>
        <v>1.74942857142857</v>
      </c>
      <c r="I55" s="10">
        <v>2.5</v>
      </c>
      <c r="J55" s="8">
        <v>416</v>
      </c>
      <c r="K55" s="8">
        <v>1500</v>
      </c>
      <c r="L55" s="1"/>
    </row>
    <row r="56" ht="21" customHeight="1" spans="1:12">
      <c r="A56" s="8">
        <v>8017</v>
      </c>
      <c r="B56" s="8" t="s">
        <v>118</v>
      </c>
      <c r="C56" s="8" t="s">
        <v>42</v>
      </c>
      <c r="D56" s="8" t="s">
        <v>128</v>
      </c>
      <c r="E56" s="8" t="s">
        <v>32</v>
      </c>
      <c r="F56" s="13" t="s">
        <v>59</v>
      </c>
      <c r="G56" s="8">
        <v>10</v>
      </c>
      <c r="H56" s="9">
        <f t="shared" si="3"/>
        <v>1.1625536</v>
      </c>
      <c r="I56" s="10">
        <v>2</v>
      </c>
      <c r="J56" s="8">
        <v>416</v>
      </c>
      <c r="K56" s="8">
        <v>1780</v>
      </c>
      <c r="L56" s="1"/>
    </row>
    <row r="57" ht="21" customHeight="1" spans="1:12">
      <c r="A57" s="8">
        <v>8017</v>
      </c>
      <c r="B57" s="8" t="s">
        <v>129</v>
      </c>
      <c r="C57" s="8" t="s">
        <v>42</v>
      </c>
      <c r="D57" s="8" t="s">
        <v>128</v>
      </c>
      <c r="E57" s="8" t="s">
        <v>91</v>
      </c>
      <c r="H57" s="9"/>
      <c r="L57" s="1"/>
    </row>
    <row r="58" ht="21" customHeight="1" spans="1:12">
      <c r="A58" s="8">
        <v>8018</v>
      </c>
      <c r="B58" s="8" t="s">
        <v>130</v>
      </c>
      <c r="C58" s="8" t="s">
        <v>42</v>
      </c>
      <c r="D58" s="8" t="s">
        <v>131</v>
      </c>
      <c r="E58" s="8" t="s">
        <v>14</v>
      </c>
      <c r="F58" s="13" t="s">
        <v>132</v>
      </c>
      <c r="G58" s="8">
        <v>4</v>
      </c>
      <c r="H58" s="9">
        <f t="shared" ref="H58:H69" si="4">J58*K58*7.84999999999999*I58/G58/1000000</f>
        <v>2.57166</v>
      </c>
      <c r="I58" s="10">
        <v>3</v>
      </c>
      <c r="J58" s="8">
        <v>416</v>
      </c>
      <c r="K58" s="8">
        <v>1050</v>
      </c>
      <c r="L58" s="1"/>
    </row>
    <row r="59" ht="21" customHeight="1" spans="1:12">
      <c r="A59" s="8">
        <v>8019</v>
      </c>
      <c r="B59" s="8" t="s">
        <v>133</v>
      </c>
      <c r="C59" s="8" t="s">
        <v>42</v>
      </c>
      <c r="D59" s="8" t="s">
        <v>134</v>
      </c>
      <c r="E59" s="8" t="s">
        <v>14</v>
      </c>
      <c r="F59" s="13" t="s">
        <v>135</v>
      </c>
      <c r="G59" s="8">
        <v>4</v>
      </c>
      <c r="H59" s="9">
        <f t="shared" si="4"/>
        <v>2.04001875</v>
      </c>
      <c r="I59" s="10">
        <v>2.5</v>
      </c>
      <c r="J59" s="8">
        <v>330</v>
      </c>
      <c r="K59" s="8">
        <v>1260</v>
      </c>
      <c r="L59" s="1"/>
    </row>
    <row r="60" ht="21" customHeight="1" spans="1:12">
      <c r="A60" s="8">
        <v>8019</v>
      </c>
      <c r="B60" s="8" t="s">
        <v>136</v>
      </c>
      <c r="C60" s="8" t="s">
        <v>42</v>
      </c>
      <c r="D60" s="8" t="s">
        <v>134</v>
      </c>
      <c r="E60" s="8" t="s">
        <v>32</v>
      </c>
      <c r="F60" s="13" t="s">
        <v>72</v>
      </c>
      <c r="G60" s="8">
        <v>5</v>
      </c>
      <c r="H60" s="9">
        <f t="shared" si="4"/>
        <v>1.542996</v>
      </c>
      <c r="I60" s="10">
        <v>2.5</v>
      </c>
      <c r="J60" s="8">
        <v>312</v>
      </c>
      <c r="K60" s="8">
        <v>1260</v>
      </c>
      <c r="L60" s="1"/>
    </row>
    <row r="61" ht="21" customHeight="1" spans="1:12">
      <c r="A61" s="8">
        <v>8019</v>
      </c>
      <c r="B61" s="8" t="s">
        <v>137</v>
      </c>
      <c r="C61" s="8" t="s">
        <v>42</v>
      </c>
      <c r="D61" s="8" t="s">
        <v>134</v>
      </c>
      <c r="E61" s="8" t="s">
        <v>138</v>
      </c>
      <c r="F61" s="13" t="s">
        <v>139</v>
      </c>
      <c r="G61" s="8">
        <v>30</v>
      </c>
      <c r="H61" s="9">
        <f t="shared" si="4"/>
        <v>0.2215584</v>
      </c>
      <c r="I61" s="10">
        <v>3.5</v>
      </c>
      <c r="J61" s="8">
        <v>192</v>
      </c>
      <c r="K61" s="8">
        <v>1260</v>
      </c>
      <c r="L61" s="1"/>
    </row>
    <row r="62" ht="21" customHeight="1" spans="1:12">
      <c r="A62" s="8">
        <v>8020</v>
      </c>
      <c r="B62" s="8" t="s">
        <v>140</v>
      </c>
      <c r="C62" s="8" t="s">
        <v>42</v>
      </c>
      <c r="D62" s="8" t="s">
        <v>141</v>
      </c>
      <c r="E62" s="8" t="s">
        <v>14</v>
      </c>
      <c r="F62" s="13" t="s">
        <v>142</v>
      </c>
      <c r="G62" s="8">
        <v>6</v>
      </c>
      <c r="H62" s="9">
        <f t="shared" si="4"/>
        <v>1.790271</v>
      </c>
      <c r="I62" s="10">
        <v>3</v>
      </c>
      <c r="J62" s="8">
        <v>362</v>
      </c>
      <c r="K62" s="8">
        <v>1260</v>
      </c>
      <c r="L62" s="1"/>
    </row>
    <row r="63" ht="21" customHeight="1" spans="1:12">
      <c r="A63" s="8">
        <v>8020</v>
      </c>
      <c r="B63" s="8" t="s">
        <v>143</v>
      </c>
      <c r="C63" s="8" t="s">
        <v>42</v>
      </c>
      <c r="D63" s="8" t="s">
        <v>141</v>
      </c>
      <c r="E63" s="8" t="s">
        <v>32</v>
      </c>
      <c r="F63" s="13" t="s">
        <v>144</v>
      </c>
      <c r="G63" s="8">
        <v>12</v>
      </c>
      <c r="H63" s="9">
        <f t="shared" si="4"/>
        <v>0.456634499999999</v>
      </c>
      <c r="I63" s="10">
        <v>2</v>
      </c>
      <c r="J63" s="8">
        <v>277</v>
      </c>
      <c r="K63" s="8">
        <v>1260</v>
      </c>
      <c r="L63" s="1"/>
    </row>
    <row r="64" ht="21" customHeight="1" spans="1:12">
      <c r="A64" s="8">
        <v>8021</v>
      </c>
      <c r="B64" s="8" t="s">
        <v>145</v>
      </c>
      <c r="C64" s="8" t="s">
        <v>12</v>
      </c>
      <c r="D64" s="8" t="s">
        <v>146</v>
      </c>
      <c r="E64" s="8" t="s">
        <v>14</v>
      </c>
      <c r="F64" s="13" t="s">
        <v>147</v>
      </c>
      <c r="G64" s="8">
        <v>4</v>
      </c>
      <c r="H64" s="9">
        <f t="shared" si="4"/>
        <v>3.214575</v>
      </c>
      <c r="I64" s="10">
        <v>2.5</v>
      </c>
      <c r="J64" s="8">
        <v>520</v>
      </c>
      <c r="K64" s="8">
        <v>1260</v>
      </c>
      <c r="L64" s="1"/>
    </row>
    <row r="65" ht="21" customHeight="1" spans="1:12">
      <c r="A65" s="8">
        <v>8021</v>
      </c>
      <c r="B65" s="8" t="s">
        <v>148</v>
      </c>
      <c r="C65" s="8" t="s">
        <v>12</v>
      </c>
      <c r="D65" s="8" t="s">
        <v>146</v>
      </c>
      <c r="E65" s="8" t="s">
        <v>32</v>
      </c>
      <c r="F65" s="13" t="s">
        <v>149</v>
      </c>
      <c r="G65" s="8">
        <v>10</v>
      </c>
      <c r="H65" s="9">
        <f t="shared" si="4"/>
        <v>0.593459999999999</v>
      </c>
      <c r="I65" s="10">
        <v>2</v>
      </c>
      <c r="J65" s="8">
        <v>300</v>
      </c>
      <c r="K65" s="8">
        <v>1260</v>
      </c>
      <c r="L65" s="1"/>
    </row>
    <row r="66" ht="21" customHeight="1" spans="1:12">
      <c r="A66" s="8">
        <v>8025</v>
      </c>
      <c r="B66" s="8" t="s">
        <v>150</v>
      </c>
      <c r="C66" s="8" t="s">
        <v>102</v>
      </c>
      <c r="D66" s="8" t="s">
        <v>151</v>
      </c>
      <c r="E66" s="8" t="s">
        <v>14</v>
      </c>
      <c r="F66" s="13" t="s">
        <v>152</v>
      </c>
      <c r="G66" s="8">
        <v>4</v>
      </c>
      <c r="H66" s="9">
        <f t="shared" si="4"/>
        <v>1.638196875</v>
      </c>
      <c r="I66" s="10">
        <v>2.5</v>
      </c>
      <c r="J66" s="8">
        <v>265</v>
      </c>
      <c r="K66" s="8">
        <v>1260</v>
      </c>
      <c r="L66" s="1"/>
    </row>
    <row r="67" ht="21" customHeight="1" spans="1:12">
      <c r="A67" s="8">
        <v>8025</v>
      </c>
      <c r="B67" s="8" t="s">
        <v>153</v>
      </c>
      <c r="C67" s="8" t="s">
        <v>102</v>
      </c>
      <c r="D67" s="8" t="s">
        <v>151</v>
      </c>
      <c r="E67" s="8" t="s">
        <v>32</v>
      </c>
      <c r="F67" s="13" t="s">
        <v>154</v>
      </c>
      <c r="G67" s="8">
        <v>13</v>
      </c>
      <c r="H67" s="9">
        <f t="shared" si="4"/>
        <v>0.494549999999999</v>
      </c>
      <c r="I67" s="10">
        <v>2</v>
      </c>
      <c r="J67" s="8">
        <v>325</v>
      </c>
      <c r="K67" s="8">
        <v>1260</v>
      </c>
      <c r="L67" s="1"/>
    </row>
    <row r="68" ht="21" customHeight="1" spans="1:12">
      <c r="A68" s="8">
        <v>8029</v>
      </c>
      <c r="B68" s="8" t="s">
        <v>155</v>
      </c>
      <c r="C68" s="8" t="s">
        <v>42</v>
      </c>
      <c r="D68" s="8" t="s">
        <v>156</v>
      </c>
      <c r="E68" s="8" t="s">
        <v>14</v>
      </c>
      <c r="F68" s="13" t="s">
        <v>157</v>
      </c>
      <c r="G68" s="8">
        <v>6</v>
      </c>
      <c r="H68" s="9">
        <f t="shared" si="4"/>
        <v>2.14985333333333</v>
      </c>
      <c r="I68" s="10">
        <v>2.5</v>
      </c>
      <c r="J68" s="8">
        <v>416</v>
      </c>
      <c r="K68" s="8">
        <v>1580</v>
      </c>
      <c r="L68" s="1"/>
    </row>
    <row r="69" ht="21" customHeight="1" spans="1:12">
      <c r="A69" s="8">
        <v>8029</v>
      </c>
      <c r="B69" s="8" t="s">
        <v>158</v>
      </c>
      <c r="C69" s="8" t="s">
        <v>42</v>
      </c>
      <c r="D69" s="8" t="s">
        <v>156</v>
      </c>
      <c r="E69" s="8" t="s">
        <v>32</v>
      </c>
      <c r="F69" s="13" t="s">
        <v>157</v>
      </c>
      <c r="G69" s="8">
        <v>6</v>
      </c>
      <c r="H69" s="9">
        <f t="shared" si="4"/>
        <v>2.14985333333333</v>
      </c>
      <c r="I69" s="10">
        <v>2.5</v>
      </c>
      <c r="J69" s="8">
        <v>416</v>
      </c>
      <c r="K69" s="8">
        <v>1580</v>
      </c>
      <c r="L69" s="1"/>
    </row>
    <row r="70" ht="21" customHeight="1" spans="1:12">
      <c r="A70" s="8">
        <v>8029</v>
      </c>
      <c r="B70" s="8" t="s">
        <v>159</v>
      </c>
      <c r="C70" s="8" t="s">
        <v>42</v>
      </c>
      <c r="D70" s="8" t="s">
        <v>156</v>
      </c>
      <c r="E70" s="8" t="s">
        <v>160</v>
      </c>
      <c r="H70" s="9"/>
      <c r="L70" s="1"/>
    </row>
    <row r="71" ht="21" customHeight="1" spans="1:12">
      <c r="A71" s="8">
        <v>8030</v>
      </c>
      <c r="B71" s="8" t="s">
        <v>161</v>
      </c>
      <c r="C71" s="8" t="s">
        <v>42</v>
      </c>
      <c r="D71" s="8" t="s">
        <v>162</v>
      </c>
      <c r="E71" s="8" t="s">
        <v>14</v>
      </c>
      <c r="F71" s="13" t="s">
        <v>122</v>
      </c>
      <c r="G71" s="8">
        <v>4</v>
      </c>
      <c r="H71" s="9">
        <f>J71*K71*7.84999999999999*I71/G71/1000000</f>
        <v>2.206929375</v>
      </c>
      <c r="I71" s="10">
        <v>2.5</v>
      </c>
      <c r="J71" s="8">
        <v>357</v>
      </c>
      <c r="K71" s="8">
        <v>1260</v>
      </c>
      <c r="L71" s="1"/>
    </row>
    <row r="72" ht="21" customHeight="1" spans="1:12">
      <c r="A72" s="8">
        <v>8030</v>
      </c>
      <c r="B72" s="8" t="s">
        <v>163</v>
      </c>
      <c r="C72" s="8" t="s">
        <v>42</v>
      </c>
      <c r="D72" s="8" t="s">
        <v>162</v>
      </c>
      <c r="E72" s="8" t="s">
        <v>32</v>
      </c>
      <c r="F72" s="13" t="s">
        <v>122</v>
      </c>
      <c r="G72" s="8">
        <v>4</v>
      </c>
      <c r="H72" s="9">
        <f>J72*K72*7.84999999999999*I72/G72/1000000</f>
        <v>2.206929375</v>
      </c>
      <c r="I72" s="10">
        <v>2.5</v>
      </c>
      <c r="J72" s="8">
        <v>357</v>
      </c>
      <c r="K72" s="8">
        <v>1260</v>
      </c>
      <c r="L72" s="1"/>
    </row>
    <row r="73" ht="21" customHeight="1" spans="1:12">
      <c r="A73" s="8">
        <v>8030</v>
      </c>
      <c r="B73" s="8" t="s">
        <v>164</v>
      </c>
      <c r="C73" s="8" t="s">
        <v>42</v>
      </c>
      <c r="D73" s="8" t="s">
        <v>162</v>
      </c>
      <c r="E73" s="8" t="s">
        <v>165</v>
      </c>
      <c r="H73" s="9"/>
      <c r="L73" s="1"/>
    </row>
    <row r="74" ht="21" customHeight="1" spans="1:12">
      <c r="A74" s="8">
        <v>8031</v>
      </c>
      <c r="B74" s="8" t="s">
        <v>166</v>
      </c>
      <c r="C74" s="8" t="s">
        <v>42</v>
      </c>
      <c r="D74" s="13" t="s">
        <v>167</v>
      </c>
      <c r="E74" s="13" t="s">
        <v>14</v>
      </c>
      <c r="F74" s="13" t="s">
        <v>168</v>
      </c>
      <c r="G74" s="8">
        <v>6</v>
      </c>
      <c r="H74" s="9">
        <f t="shared" ref="H74:H103" si="5">J74*K74*7.84999999999999*I74/G74/1000000</f>
        <v>2.1018375</v>
      </c>
      <c r="I74" s="10">
        <v>3</v>
      </c>
      <c r="J74" s="8">
        <v>357</v>
      </c>
      <c r="K74" s="8">
        <v>1500</v>
      </c>
    </row>
    <row r="75" ht="21" customHeight="1" spans="1:12">
      <c r="A75" s="8">
        <v>8031</v>
      </c>
      <c r="B75" s="8" t="s">
        <v>169</v>
      </c>
      <c r="C75" s="8" t="s">
        <v>42</v>
      </c>
      <c r="D75" s="13" t="s">
        <v>167</v>
      </c>
      <c r="E75" s="13" t="s">
        <v>32</v>
      </c>
      <c r="F75" s="13" t="s">
        <v>110</v>
      </c>
      <c r="G75" s="8">
        <v>6</v>
      </c>
      <c r="H75" s="9">
        <f t="shared" si="5"/>
        <v>1.028664</v>
      </c>
      <c r="I75" s="10">
        <v>2</v>
      </c>
      <c r="J75" s="8">
        <v>312</v>
      </c>
      <c r="K75" s="8">
        <v>1260</v>
      </c>
    </row>
    <row r="76" ht="21" customHeight="1" spans="1:12">
      <c r="A76" s="8">
        <v>8031</v>
      </c>
      <c r="B76" s="8" t="s">
        <v>170</v>
      </c>
      <c r="C76" s="8" t="s">
        <v>42</v>
      </c>
      <c r="D76" s="13" t="s">
        <v>167</v>
      </c>
      <c r="E76" s="13" t="s">
        <v>171</v>
      </c>
      <c r="F76" s="13" t="s">
        <v>172</v>
      </c>
      <c r="G76" s="8">
        <v>9</v>
      </c>
      <c r="H76" s="9">
        <f t="shared" si="5"/>
        <v>0.456084999999999</v>
      </c>
      <c r="I76" s="10">
        <v>2.5</v>
      </c>
      <c r="J76" s="8">
        <v>166</v>
      </c>
      <c r="K76" s="8">
        <v>1260</v>
      </c>
    </row>
    <row r="77" ht="21" customHeight="1" spans="1:12">
      <c r="A77" s="8">
        <v>8032</v>
      </c>
      <c r="B77" s="8" t="s">
        <v>173</v>
      </c>
      <c r="C77" s="8" t="s">
        <v>42</v>
      </c>
      <c r="D77" s="8" t="s">
        <v>174</v>
      </c>
      <c r="E77" s="8" t="s">
        <v>14</v>
      </c>
      <c r="F77" s="13" t="s">
        <v>175</v>
      </c>
      <c r="G77" s="8">
        <v>8</v>
      </c>
      <c r="H77" s="9">
        <f t="shared" si="5"/>
        <v>1.5413475</v>
      </c>
      <c r="I77" s="10">
        <v>2.5</v>
      </c>
      <c r="J77" s="8">
        <v>357</v>
      </c>
      <c r="K77" s="8">
        <v>1760</v>
      </c>
      <c r="L77" s="1"/>
    </row>
    <row r="78" ht="21" customHeight="1" spans="1:12">
      <c r="A78" s="8">
        <v>8032</v>
      </c>
      <c r="B78" s="8" t="s">
        <v>176</v>
      </c>
      <c r="C78" s="8" t="s">
        <v>42</v>
      </c>
      <c r="D78" s="8" t="s">
        <v>174</v>
      </c>
      <c r="E78" s="8" t="s">
        <v>32</v>
      </c>
      <c r="F78" s="13" t="s">
        <v>175</v>
      </c>
      <c r="G78" s="8">
        <v>8</v>
      </c>
      <c r="H78" s="9">
        <f t="shared" si="5"/>
        <v>1.5413475</v>
      </c>
      <c r="I78" s="10">
        <v>2.5</v>
      </c>
      <c r="J78" s="8">
        <v>357</v>
      </c>
      <c r="K78" s="8">
        <v>1760</v>
      </c>
      <c r="L78" s="1"/>
    </row>
    <row r="79" ht="21" customHeight="1" spans="1:12">
      <c r="A79" s="8">
        <v>8034</v>
      </c>
      <c r="B79" s="8" t="s">
        <v>177</v>
      </c>
      <c r="C79" s="8" t="s">
        <v>42</v>
      </c>
      <c r="D79" s="8" t="s">
        <v>178</v>
      </c>
      <c r="E79" s="8" t="s">
        <v>14</v>
      </c>
      <c r="F79" s="13" t="s">
        <v>85</v>
      </c>
      <c r="G79" s="8">
        <v>4</v>
      </c>
      <c r="H79" s="9">
        <f t="shared" si="5"/>
        <v>1.7655435</v>
      </c>
      <c r="I79" s="10">
        <v>2</v>
      </c>
      <c r="J79" s="8">
        <v>357</v>
      </c>
      <c r="K79" s="8">
        <v>1260</v>
      </c>
      <c r="L79" s="1"/>
    </row>
    <row r="80" ht="21" customHeight="1" spans="1:12">
      <c r="A80" s="8">
        <v>8034</v>
      </c>
      <c r="B80" s="8" t="s">
        <v>179</v>
      </c>
      <c r="C80" s="8" t="s">
        <v>42</v>
      </c>
      <c r="D80" s="8" t="s">
        <v>178</v>
      </c>
      <c r="E80" s="8" t="s">
        <v>32</v>
      </c>
      <c r="F80" s="13" t="s">
        <v>85</v>
      </c>
      <c r="G80" s="8">
        <v>4</v>
      </c>
      <c r="H80" s="9">
        <f t="shared" si="5"/>
        <v>1.7655435</v>
      </c>
      <c r="I80" s="10">
        <v>2</v>
      </c>
      <c r="J80" s="8">
        <v>357</v>
      </c>
      <c r="K80" s="8">
        <v>1260</v>
      </c>
      <c r="L80" s="1"/>
    </row>
    <row r="81" ht="21" customHeight="1" spans="1:12">
      <c r="A81" s="8" t="s">
        <v>180</v>
      </c>
      <c r="B81" s="8" t="s">
        <v>181</v>
      </c>
      <c r="C81" s="8" t="s">
        <v>42</v>
      </c>
      <c r="D81" s="8"/>
      <c r="E81" s="8" t="s">
        <v>14</v>
      </c>
      <c r="G81" s="8">
        <v>30</v>
      </c>
      <c r="H81" s="9">
        <f t="shared" si="5"/>
        <v>3.27083333333333</v>
      </c>
      <c r="I81" s="10">
        <v>4</v>
      </c>
      <c r="J81" s="8">
        <v>1250</v>
      </c>
      <c r="K81" s="8">
        <v>2500</v>
      </c>
      <c r="L81" s="1"/>
    </row>
    <row r="82" ht="21" customHeight="1" spans="1:12">
      <c r="A82" s="8" t="s">
        <v>180</v>
      </c>
      <c r="B82" s="8" t="s">
        <v>182</v>
      </c>
      <c r="C82" s="8" t="s">
        <v>42</v>
      </c>
      <c r="D82" s="8"/>
      <c r="E82" s="8" t="s">
        <v>32</v>
      </c>
      <c r="G82" s="8">
        <v>520</v>
      </c>
      <c r="H82" s="9">
        <f t="shared" si="5"/>
        <v>0.0943509615384614</v>
      </c>
      <c r="I82" s="10">
        <v>2</v>
      </c>
      <c r="J82" s="8">
        <v>1250</v>
      </c>
      <c r="K82" s="8">
        <v>2500</v>
      </c>
      <c r="L82" s="1"/>
    </row>
    <row r="83" ht="21" customHeight="1" spans="1:12">
      <c r="A83" s="8">
        <v>8035</v>
      </c>
      <c r="B83" s="8" t="s">
        <v>181</v>
      </c>
      <c r="C83" s="8" t="s">
        <v>42</v>
      </c>
      <c r="D83" s="8"/>
      <c r="E83" s="8" t="s">
        <v>14</v>
      </c>
      <c r="F83" s="13" t="s">
        <v>183</v>
      </c>
      <c r="G83" s="8">
        <v>4</v>
      </c>
      <c r="H83" s="9">
        <f t="shared" si="5"/>
        <v>3.085992</v>
      </c>
      <c r="I83" s="10">
        <v>4</v>
      </c>
      <c r="J83" s="8">
        <v>312</v>
      </c>
      <c r="K83" s="8">
        <v>1260</v>
      </c>
      <c r="L83" s="1"/>
    </row>
    <row r="84" ht="21" customHeight="1" spans="1:12">
      <c r="A84" s="8">
        <v>8035</v>
      </c>
      <c r="B84" s="8" t="s">
        <v>182</v>
      </c>
      <c r="C84" s="8" t="s">
        <v>42</v>
      </c>
      <c r="D84" s="8"/>
      <c r="E84" s="8" t="s">
        <v>32</v>
      </c>
      <c r="F84" s="13" t="s">
        <v>184</v>
      </c>
      <c r="G84" s="8">
        <v>14</v>
      </c>
      <c r="H84" s="9">
        <f t="shared" si="5"/>
        <v>0.1307025</v>
      </c>
      <c r="I84" s="10">
        <v>2</v>
      </c>
      <c r="J84" s="8">
        <v>92.5</v>
      </c>
      <c r="K84" s="8">
        <v>1260</v>
      </c>
      <c r="L84" s="1"/>
    </row>
    <row r="85" ht="21" customHeight="1" spans="1:12">
      <c r="A85" s="8">
        <v>8036</v>
      </c>
      <c r="B85" s="8" t="s">
        <v>185</v>
      </c>
      <c r="C85" s="8" t="s">
        <v>42</v>
      </c>
      <c r="D85" s="8" t="s">
        <v>186</v>
      </c>
      <c r="E85" s="8" t="s">
        <v>14</v>
      </c>
      <c r="F85" s="13" t="s">
        <v>57</v>
      </c>
      <c r="G85" s="8">
        <v>6</v>
      </c>
      <c r="H85" s="9">
        <f t="shared" si="5"/>
        <v>2.041</v>
      </c>
      <c r="I85" s="10">
        <v>2.5</v>
      </c>
      <c r="J85" s="8">
        <v>416</v>
      </c>
      <c r="K85" s="8">
        <v>1500</v>
      </c>
      <c r="L85" s="1"/>
    </row>
    <row r="86" ht="21" customHeight="1" spans="1:12">
      <c r="A86" s="8">
        <v>8036</v>
      </c>
      <c r="B86" s="8" t="s">
        <v>187</v>
      </c>
      <c r="C86" s="8" t="s">
        <v>42</v>
      </c>
      <c r="D86" s="8" t="s">
        <v>186</v>
      </c>
      <c r="E86" s="8" t="s">
        <v>32</v>
      </c>
      <c r="F86" s="13" t="s">
        <v>57</v>
      </c>
      <c r="G86" s="8">
        <v>6</v>
      </c>
      <c r="H86" s="9">
        <f t="shared" si="5"/>
        <v>2.041</v>
      </c>
      <c r="I86" s="10">
        <v>2.5</v>
      </c>
      <c r="J86" s="8">
        <v>416</v>
      </c>
      <c r="K86" s="8">
        <v>1500</v>
      </c>
      <c r="L86" s="1"/>
    </row>
    <row r="87" ht="21" customHeight="1" spans="1:12">
      <c r="A87" s="8">
        <v>8037</v>
      </c>
      <c r="B87" s="8" t="s">
        <v>188</v>
      </c>
      <c r="C87" s="8" t="s">
        <v>42</v>
      </c>
      <c r="D87" s="8" t="s">
        <v>189</v>
      </c>
      <c r="E87" s="8" t="s">
        <v>14</v>
      </c>
      <c r="F87" s="13" t="s">
        <v>85</v>
      </c>
      <c r="G87" s="8">
        <v>4</v>
      </c>
      <c r="H87" s="9">
        <f t="shared" si="5"/>
        <v>1.7655435</v>
      </c>
      <c r="I87" s="10">
        <v>2</v>
      </c>
      <c r="J87" s="8">
        <v>357</v>
      </c>
      <c r="K87" s="8">
        <v>1260</v>
      </c>
      <c r="L87" s="1"/>
    </row>
    <row r="88" ht="21" customHeight="1" spans="1:12">
      <c r="A88" s="8">
        <v>8037</v>
      </c>
      <c r="B88" s="8" t="s">
        <v>190</v>
      </c>
      <c r="C88" s="8" t="s">
        <v>42</v>
      </c>
      <c r="D88" s="8" t="s">
        <v>189</v>
      </c>
      <c r="E88" s="8" t="s">
        <v>32</v>
      </c>
      <c r="F88" s="13" t="s">
        <v>85</v>
      </c>
      <c r="G88" s="8">
        <v>4</v>
      </c>
      <c r="H88" s="9">
        <f t="shared" si="5"/>
        <v>1.7655435</v>
      </c>
      <c r="I88" s="10">
        <v>2</v>
      </c>
      <c r="J88" s="8">
        <v>357</v>
      </c>
      <c r="K88" s="8">
        <v>1260</v>
      </c>
      <c r="L88" s="1"/>
    </row>
    <row r="89" ht="21" customHeight="1" spans="1:12">
      <c r="A89" s="8">
        <v>8038</v>
      </c>
      <c r="B89" s="8" t="s">
        <v>191</v>
      </c>
      <c r="C89" s="8" t="s">
        <v>42</v>
      </c>
      <c r="D89" s="8" t="s">
        <v>192</v>
      </c>
      <c r="E89" s="8" t="s">
        <v>14</v>
      </c>
      <c r="F89" s="13" t="s">
        <v>193</v>
      </c>
      <c r="G89" s="8">
        <v>2</v>
      </c>
      <c r="H89" s="9">
        <f t="shared" si="5"/>
        <v>3.96770399999999</v>
      </c>
      <c r="I89" s="10">
        <v>4.5</v>
      </c>
      <c r="J89" s="8">
        <v>540</v>
      </c>
      <c r="K89" s="8">
        <v>416</v>
      </c>
      <c r="L89" s="1"/>
    </row>
    <row r="90" ht="21" customHeight="1" spans="1:12">
      <c r="A90" s="8">
        <v>8040</v>
      </c>
      <c r="B90" s="8" t="s">
        <v>194</v>
      </c>
      <c r="C90" s="8" t="s">
        <v>42</v>
      </c>
      <c r="D90" s="13" t="s">
        <v>195</v>
      </c>
      <c r="E90" s="13" t="s">
        <v>14</v>
      </c>
      <c r="F90" s="13" t="s">
        <v>196</v>
      </c>
      <c r="G90" s="8">
        <v>2</v>
      </c>
      <c r="H90" s="9">
        <f t="shared" si="5"/>
        <v>4.62898799999999</v>
      </c>
      <c r="I90" s="10">
        <v>4.5</v>
      </c>
      <c r="J90" s="8">
        <v>416</v>
      </c>
      <c r="K90" s="8">
        <v>630</v>
      </c>
    </row>
    <row r="91" ht="21" customHeight="1" spans="1:12">
      <c r="A91" s="8">
        <v>8041</v>
      </c>
      <c r="B91" s="8" t="s">
        <v>197</v>
      </c>
      <c r="C91" s="8" t="s">
        <v>42</v>
      </c>
      <c r="D91" s="13" t="s">
        <v>198</v>
      </c>
      <c r="E91" s="13" t="s">
        <v>14</v>
      </c>
      <c r="F91" s="13" t="s">
        <v>199</v>
      </c>
      <c r="G91" s="8">
        <v>2</v>
      </c>
      <c r="H91" s="9">
        <f t="shared" si="5"/>
        <v>4.94549999999999</v>
      </c>
      <c r="I91" s="10">
        <v>4</v>
      </c>
      <c r="J91" s="8">
        <v>500</v>
      </c>
      <c r="K91" s="8">
        <v>630</v>
      </c>
    </row>
    <row r="92" ht="21" customHeight="1" spans="1:12">
      <c r="A92" s="42" t="s">
        <v>200</v>
      </c>
      <c r="B92" s="42" t="s">
        <v>197</v>
      </c>
      <c r="C92" s="42" t="s">
        <v>42</v>
      </c>
      <c r="D92" s="43" t="s">
        <v>198</v>
      </c>
      <c r="E92" s="43" t="s">
        <v>14</v>
      </c>
      <c r="F92" s="43" t="s">
        <v>199</v>
      </c>
      <c r="G92" s="42">
        <v>2</v>
      </c>
      <c r="H92" s="44">
        <f t="shared" si="5"/>
        <v>4.94549999999999</v>
      </c>
      <c r="I92" s="45">
        <v>4</v>
      </c>
      <c r="J92" s="42">
        <v>500</v>
      </c>
      <c r="K92" s="42">
        <v>630</v>
      </c>
    </row>
    <row r="93" ht="21" customHeight="1" spans="1:12">
      <c r="A93" s="8">
        <v>8042</v>
      </c>
      <c r="B93" s="8" t="s">
        <v>201</v>
      </c>
      <c r="C93" s="8" t="s">
        <v>42</v>
      </c>
      <c r="D93" s="8" t="s">
        <v>202</v>
      </c>
      <c r="E93" s="8" t="s">
        <v>14</v>
      </c>
      <c r="F93" s="13" t="s">
        <v>57</v>
      </c>
      <c r="G93" s="8">
        <v>6</v>
      </c>
      <c r="H93" s="9">
        <f t="shared" si="5"/>
        <v>2.041</v>
      </c>
      <c r="I93" s="10">
        <v>2.5</v>
      </c>
      <c r="J93" s="8">
        <v>416</v>
      </c>
      <c r="K93" s="8">
        <v>1500</v>
      </c>
      <c r="L93" s="1"/>
    </row>
    <row r="94" ht="21" customHeight="1" spans="1:12">
      <c r="A94" s="8">
        <v>8042</v>
      </c>
      <c r="B94" s="8" t="s">
        <v>203</v>
      </c>
      <c r="C94" s="8" t="s">
        <v>42</v>
      </c>
      <c r="D94" s="8" t="s">
        <v>202</v>
      </c>
      <c r="E94" s="8" t="s">
        <v>32</v>
      </c>
      <c r="F94" s="13" t="s">
        <v>88</v>
      </c>
      <c r="G94" s="8">
        <v>7</v>
      </c>
      <c r="H94" s="9">
        <f t="shared" si="5"/>
        <v>1.6328</v>
      </c>
      <c r="I94" s="10">
        <v>2.5</v>
      </c>
      <c r="J94" s="8">
        <v>416</v>
      </c>
      <c r="K94" s="8">
        <v>1400</v>
      </c>
      <c r="L94" s="1"/>
    </row>
    <row r="95" ht="21" customHeight="1" spans="1:12">
      <c r="A95" s="8">
        <v>8042</v>
      </c>
      <c r="B95" s="8" t="s">
        <v>204</v>
      </c>
      <c r="C95" s="8" t="s">
        <v>42</v>
      </c>
      <c r="D95" s="13" t="s">
        <v>202</v>
      </c>
      <c r="E95" s="13" t="s">
        <v>160</v>
      </c>
      <c r="F95" s="13" t="s">
        <v>154</v>
      </c>
      <c r="G95" s="8">
        <v>10</v>
      </c>
      <c r="H95" s="9">
        <f t="shared" si="5"/>
        <v>0.642914999999999</v>
      </c>
      <c r="I95" s="10">
        <v>2</v>
      </c>
      <c r="J95" s="8">
        <v>325</v>
      </c>
      <c r="K95" s="8">
        <v>1260</v>
      </c>
    </row>
    <row r="96" ht="21" customHeight="1" spans="1:12">
      <c r="A96" s="8">
        <v>8043</v>
      </c>
      <c r="B96" s="8" t="s">
        <v>205</v>
      </c>
      <c r="C96" s="8" t="s">
        <v>42</v>
      </c>
      <c r="D96" s="8" t="s">
        <v>206</v>
      </c>
      <c r="E96" s="8" t="s">
        <v>14</v>
      </c>
      <c r="F96" s="13" t="s">
        <v>54</v>
      </c>
      <c r="G96" s="8">
        <v>9</v>
      </c>
      <c r="H96" s="9">
        <f t="shared" si="5"/>
        <v>2.198</v>
      </c>
      <c r="I96" s="10">
        <v>4</v>
      </c>
      <c r="J96" s="8">
        <v>500</v>
      </c>
      <c r="K96" s="8">
        <v>1260</v>
      </c>
      <c r="L96" s="1"/>
    </row>
    <row r="97" ht="21" customHeight="1" spans="1:12">
      <c r="A97" s="8">
        <v>8043</v>
      </c>
      <c r="B97" s="8" t="s">
        <v>207</v>
      </c>
      <c r="C97" s="8" t="s">
        <v>42</v>
      </c>
      <c r="D97" s="8" t="s">
        <v>206</v>
      </c>
      <c r="E97" s="8" t="s">
        <v>32</v>
      </c>
      <c r="F97" s="13" t="s">
        <v>208</v>
      </c>
      <c r="G97" s="8">
        <v>19</v>
      </c>
      <c r="H97" s="9">
        <f t="shared" si="5"/>
        <v>0.515621052631578</v>
      </c>
      <c r="I97" s="10">
        <v>2</v>
      </c>
      <c r="J97" s="8">
        <v>416</v>
      </c>
      <c r="K97" s="8">
        <v>1500</v>
      </c>
      <c r="L97" s="1"/>
    </row>
    <row r="98" ht="21" customHeight="1" spans="1:12">
      <c r="A98" s="8">
        <v>8043</v>
      </c>
      <c r="B98" s="8" t="s">
        <v>209</v>
      </c>
      <c r="C98" s="8" t="s">
        <v>42</v>
      </c>
      <c r="D98" s="8" t="s">
        <v>206</v>
      </c>
      <c r="E98" s="8" t="s">
        <v>210</v>
      </c>
      <c r="F98" s="13" t="s">
        <v>211</v>
      </c>
      <c r="G98" s="8">
        <v>17</v>
      </c>
      <c r="H98" s="9">
        <f t="shared" si="5"/>
        <v>0.96970588235294</v>
      </c>
      <c r="I98" s="10">
        <v>7</v>
      </c>
      <c r="J98" s="8">
        <v>400</v>
      </c>
      <c r="K98" s="8">
        <v>750</v>
      </c>
      <c r="L98" s="1"/>
    </row>
    <row r="99" ht="21" customHeight="1" spans="1:12">
      <c r="A99" s="8">
        <v>8043</v>
      </c>
      <c r="B99" s="8" t="s">
        <v>212</v>
      </c>
      <c r="C99" s="8" t="s">
        <v>42</v>
      </c>
      <c r="D99" s="8" t="s">
        <v>206</v>
      </c>
      <c r="E99" s="8" t="s">
        <v>213</v>
      </c>
      <c r="F99" s="13" t="s">
        <v>214</v>
      </c>
      <c r="G99" s="8">
        <v>22</v>
      </c>
      <c r="H99" s="9">
        <f t="shared" si="5"/>
        <v>0.481704545454545</v>
      </c>
      <c r="I99" s="10">
        <v>5</v>
      </c>
      <c r="J99" s="8">
        <v>360</v>
      </c>
      <c r="K99" s="8">
        <v>750</v>
      </c>
      <c r="L99" s="1"/>
    </row>
    <row r="100" ht="21" customHeight="1" spans="1:12">
      <c r="A100" s="8">
        <v>8043</v>
      </c>
      <c r="B100" s="8" t="s">
        <v>215</v>
      </c>
      <c r="C100" s="8" t="s">
        <v>42</v>
      </c>
      <c r="D100" s="8" t="s">
        <v>206</v>
      </c>
      <c r="E100" s="8" t="s">
        <v>216</v>
      </c>
      <c r="F100" s="13" t="s">
        <v>217</v>
      </c>
      <c r="G100" s="8">
        <v>15</v>
      </c>
      <c r="H100" s="9">
        <f t="shared" si="5"/>
        <v>1.5386</v>
      </c>
      <c r="I100" s="10">
        <v>7</v>
      </c>
      <c r="J100" s="8">
        <v>560</v>
      </c>
      <c r="K100" s="8">
        <v>750</v>
      </c>
      <c r="L100" s="1"/>
    </row>
    <row r="101" ht="21" customHeight="1" spans="1:12">
      <c r="A101" s="8">
        <v>8044</v>
      </c>
      <c r="B101" s="8" t="s">
        <v>218</v>
      </c>
      <c r="C101" s="8" t="s">
        <v>42</v>
      </c>
      <c r="D101" s="13" t="s">
        <v>219</v>
      </c>
      <c r="E101" s="13" t="s">
        <v>14</v>
      </c>
      <c r="F101" s="13" t="s">
        <v>220</v>
      </c>
      <c r="G101" s="8">
        <v>6</v>
      </c>
      <c r="H101" s="9">
        <f t="shared" si="5"/>
        <v>1.800162</v>
      </c>
      <c r="I101" s="10">
        <v>3.5</v>
      </c>
      <c r="J101" s="8">
        <v>312</v>
      </c>
      <c r="K101" s="8">
        <v>1260</v>
      </c>
    </row>
    <row r="102" ht="21" customHeight="1" spans="1:12">
      <c r="A102" s="8">
        <v>8044</v>
      </c>
      <c r="B102" s="8" t="s">
        <v>221</v>
      </c>
      <c r="C102" s="8" t="s">
        <v>42</v>
      </c>
      <c r="D102" s="13" t="s">
        <v>219</v>
      </c>
      <c r="E102" s="13" t="s">
        <v>32</v>
      </c>
      <c r="F102" s="13" t="s">
        <v>220</v>
      </c>
      <c r="G102" s="8">
        <v>6</v>
      </c>
      <c r="H102" s="9">
        <f t="shared" si="5"/>
        <v>1.800162</v>
      </c>
      <c r="I102" s="10">
        <v>3.5</v>
      </c>
      <c r="J102" s="8">
        <v>312</v>
      </c>
      <c r="K102" s="8">
        <v>1260</v>
      </c>
    </row>
    <row r="103" ht="21" customHeight="1" spans="1:12">
      <c r="A103" s="39">
        <v>8044</v>
      </c>
      <c r="B103" s="39" t="s">
        <v>222</v>
      </c>
      <c r="C103" s="39" t="s">
        <v>42</v>
      </c>
      <c r="D103" s="40" t="s">
        <v>219</v>
      </c>
      <c r="E103" s="40" t="s">
        <v>75</v>
      </c>
      <c r="F103" s="40"/>
      <c r="G103" s="39">
        <v>30</v>
      </c>
      <c r="H103" s="46">
        <f t="shared" si="5"/>
        <v>0.360032399999999</v>
      </c>
      <c r="I103" s="41">
        <v>3.5</v>
      </c>
      <c r="J103" s="39">
        <v>312</v>
      </c>
      <c r="K103" s="39">
        <v>1260</v>
      </c>
    </row>
    <row r="104" ht="21" customHeight="1" spans="1:12">
      <c r="A104" s="39">
        <v>8044</v>
      </c>
      <c r="B104" s="39" t="s">
        <v>222</v>
      </c>
      <c r="C104" s="39" t="s">
        <v>42</v>
      </c>
      <c r="D104" s="40" t="s">
        <v>219</v>
      </c>
      <c r="E104" s="40" t="s">
        <v>75</v>
      </c>
      <c r="F104" s="40"/>
      <c r="G104" s="39"/>
      <c r="H104" s="46"/>
      <c r="I104" s="41">
        <v>3.5</v>
      </c>
      <c r="J104" s="39">
        <v>312</v>
      </c>
      <c r="K104" s="39">
        <v>1260</v>
      </c>
    </row>
    <row r="105" ht="21" customHeight="1" spans="1:12">
      <c r="A105" s="8">
        <v>8045</v>
      </c>
      <c r="B105" s="8" t="s">
        <v>223</v>
      </c>
      <c r="C105" s="8" t="s">
        <v>42</v>
      </c>
      <c r="D105" s="8" t="s">
        <v>224</v>
      </c>
      <c r="E105" s="8" t="s">
        <v>14</v>
      </c>
      <c r="F105" s="13" t="s">
        <v>225</v>
      </c>
      <c r="G105" s="8">
        <v>2</v>
      </c>
      <c r="H105" s="9">
        <f t="shared" ref="H105:H128" si="6">J105*K105*7.84999999999999*I105/G105/1000000</f>
        <v>3.4272315</v>
      </c>
      <c r="I105" s="10">
        <v>3.5</v>
      </c>
      <c r="J105" s="8">
        <v>396</v>
      </c>
      <c r="K105" s="8">
        <v>630</v>
      </c>
      <c r="L105" s="1"/>
    </row>
    <row r="106" ht="21" customHeight="1" spans="1:12">
      <c r="A106" s="8">
        <v>8045</v>
      </c>
      <c r="B106" s="8" t="s">
        <v>226</v>
      </c>
      <c r="C106" s="8" t="s">
        <v>42</v>
      </c>
      <c r="D106" s="8" t="s">
        <v>224</v>
      </c>
      <c r="E106" s="8" t="s">
        <v>32</v>
      </c>
      <c r="F106" s="13" t="s">
        <v>106</v>
      </c>
      <c r="G106" s="8">
        <v>12</v>
      </c>
      <c r="H106" s="9">
        <f t="shared" si="6"/>
        <v>0.412124999999999</v>
      </c>
      <c r="I106" s="10">
        <v>2</v>
      </c>
      <c r="J106" s="8">
        <v>250</v>
      </c>
      <c r="K106" s="8">
        <v>1260</v>
      </c>
      <c r="L106" s="1"/>
    </row>
    <row r="107" ht="21" customHeight="1" spans="1:12">
      <c r="A107" s="8">
        <v>8046</v>
      </c>
      <c r="B107" s="8" t="s">
        <v>227</v>
      </c>
      <c r="C107" s="8" t="s">
        <v>42</v>
      </c>
      <c r="D107" s="8" t="s">
        <v>228</v>
      </c>
      <c r="E107" s="8" t="s">
        <v>14</v>
      </c>
      <c r="F107" s="13" t="s">
        <v>229</v>
      </c>
      <c r="G107" s="8">
        <v>10</v>
      </c>
      <c r="H107" s="9">
        <f t="shared" si="6"/>
        <v>2.355</v>
      </c>
      <c r="I107" s="10">
        <v>4</v>
      </c>
      <c r="J107" s="8">
        <v>500</v>
      </c>
      <c r="K107" s="8">
        <v>1500</v>
      </c>
      <c r="L107" s="1"/>
    </row>
    <row r="108" ht="21" customHeight="1" spans="1:12">
      <c r="A108" s="8">
        <v>8046</v>
      </c>
      <c r="B108" s="8" t="s">
        <v>230</v>
      </c>
      <c r="C108" s="8" t="s">
        <v>42</v>
      </c>
      <c r="D108" s="8" t="s">
        <v>228</v>
      </c>
      <c r="E108" s="8" t="s">
        <v>210</v>
      </c>
      <c r="F108" s="13" t="s">
        <v>231</v>
      </c>
      <c r="G108" s="8">
        <v>17</v>
      </c>
      <c r="H108" s="9">
        <f t="shared" si="6"/>
        <v>0.896977941176469</v>
      </c>
      <c r="I108" s="10">
        <v>7</v>
      </c>
      <c r="J108" s="8">
        <v>370</v>
      </c>
      <c r="K108" s="8">
        <v>750</v>
      </c>
      <c r="L108" s="1"/>
    </row>
    <row r="109" ht="21" customHeight="1" spans="1:12">
      <c r="A109" s="8">
        <v>8046</v>
      </c>
      <c r="B109" s="8" t="s">
        <v>232</v>
      </c>
      <c r="C109" s="8" t="s">
        <v>42</v>
      </c>
      <c r="D109" s="8" t="s">
        <v>228</v>
      </c>
      <c r="E109" s="8" t="s">
        <v>213</v>
      </c>
      <c r="F109" s="13" t="s">
        <v>233</v>
      </c>
      <c r="G109" s="8">
        <v>31</v>
      </c>
      <c r="H109" s="9">
        <f t="shared" si="6"/>
        <v>0.617237903225806</v>
      </c>
      <c r="I109" s="10">
        <v>5</v>
      </c>
      <c r="J109" s="8">
        <v>325</v>
      </c>
      <c r="K109" s="8">
        <v>1500</v>
      </c>
      <c r="L109" s="1"/>
    </row>
    <row r="110" ht="21" customHeight="1" spans="1:12">
      <c r="A110" s="8">
        <v>8046</v>
      </c>
      <c r="B110" s="8" t="s">
        <v>234</v>
      </c>
      <c r="C110" s="8" t="s">
        <v>42</v>
      </c>
      <c r="D110" s="8" t="s">
        <v>228</v>
      </c>
      <c r="E110" s="8" t="s">
        <v>216</v>
      </c>
      <c r="F110" s="13" t="s">
        <v>235</v>
      </c>
      <c r="G110" s="8">
        <v>23</v>
      </c>
      <c r="H110" s="9">
        <f t="shared" si="6"/>
        <v>0.78841304347826</v>
      </c>
      <c r="I110" s="10">
        <v>7</v>
      </c>
      <c r="J110" s="8">
        <v>440</v>
      </c>
      <c r="K110" s="8">
        <v>750</v>
      </c>
      <c r="L110" s="1"/>
    </row>
    <row r="111" ht="21" customHeight="1" spans="1:12">
      <c r="A111" s="8">
        <v>8046</v>
      </c>
      <c r="B111" s="8" t="s">
        <v>236</v>
      </c>
      <c r="C111" s="8" t="s">
        <v>42</v>
      </c>
      <c r="D111" s="8" t="s">
        <v>228</v>
      </c>
      <c r="E111" s="8" t="s">
        <v>237</v>
      </c>
      <c r="F111" s="13" t="s">
        <v>238</v>
      </c>
      <c r="G111" s="8">
        <v>7</v>
      </c>
      <c r="H111" s="9">
        <f t="shared" si="6"/>
        <v>0.754541999999999</v>
      </c>
      <c r="I111" s="10">
        <v>3</v>
      </c>
      <c r="J111" s="8">
        <v>178</v>
      </c>
      <c r="K111" s="8">
        <v>1260</v>
      </c>
      <c r="L111" s="1" t="s">
        <v>38</v>
      </c>
    </row>
    <row r="112" ht="21" customHeight="1" spans="1:12">
      <c r="A112" s="8">
        <v>8047</v>
      </c>
      <c r="B112" s="8" t="s">
        <v>239</v>
      </c>
      <c r="C112" s="8" t="s">
        <v>42</v>
      </c>
      <c r="D112" s="8" t="s">
        <v>240</v>
      </c>
      <c r="E112" s="8" t="s">
        <v>14</v>
      </c>
      <c r="F112" s="13" t="s">
        <v>88</v>
      </c>
      <c r="G112" s="8">
        <v>6</v>
      </c>
      <c r="H112" s="9">
        <f t="shared" si="6"/>
        <v>1.90493333333333</v>
      </c>
      <c r="I112" s="10">
        <v>2.5</v>
      </c>
      <c r="J112" s="8">
        <v>416</v>
      </c>
      <c r="K112" s="8">
        <v>1400</v>
      </c>
      <c r="L112" s="1"/>
    </row>
    <row r="113" ht="21" customHeight="1" spans="1:12">
      <c r="A113" s="8">
        <v>8047</v>
      </c>
      <c r="B113" s="8" t="s">
        <v>241</v>
      </c>
      <c r="C113" s="8" t="s">
        <v>42</v>
      </c>
      <c r="D113" s="8" t="s">
        <v>240</v>
      </c>
      <c r="E113" s="8" t="s">
        <v>32</v>
      </c>
      <c r="F113" s="13" t="s">
        <v>57</v>
      </c>
      <c r="G113" s="8">
        <v>7</v>
      </c>
      <c r="H113" s="9">
        <f t="shared" si="6"/>
        <v>1.74942857142857</v>
      </c>
      <c r="I113" s="10">
        <v>2.5</v>
      </c>
      <c r="J113" s="8">
        <v>416</v>
      </c>
      <c r="K113" s="8">
        <v>1500</v>
      </c>
      <c r="L113" s="1"/>
    </row>
    <row r="114" ht="21" customHeight="1" spans="1:12">
      <c r="A114" s="8">
        <v>8048</v>
      </c>
      <c r="B114" s="8" t="s">
        <v>242</v>
      </c>
      <c r="C114" s="8" t="s">
        <v>42</v>
      </c>
      <c r="D114" s="8" t="s">
        <v>243</v>
      </c>
      <c r="E114" s="8" t="s">
        <v>14</v>
      </c>
      <c r="F114" s="13" t="s">
        <v>244</v>
      </c>
      <c r="G114" s="8">
        <v>4</v>
      </c>
      <c r="H114" s="9">
        <f t="shared" si="6"/>
        <v>3.0615</v>
      </c>
      <c r="I114" s="10">
        <v>3</v>
      </c>
      <c r="J114" s="8">
        <v>416</v>
      </c>
      <c r="K114" s="8">
        <v>1250</v>
      </c>
      <c r="L114" s="1"/>
    </row>
    <row r="115" ht="21" customHeight="1" spans="1:12">
      <c r="A115" s="8">
        <v>8048</v>
      </c>
      <c r="B115" s="8" t="s">
        <v>245</v>
      </c>
      <c r="C115" s="8" t="s">
        <v>42</v>
      </c>
      <c r="D115" s="8" t="s">
        <v>243</v>
      </c>
      <c r="E115" s="8" t="s">
        <v>32</v>
      </c>
      <c r="F115" s="13" t="s">
        <v>244</v>
      </c>
      <c r="G115" s="8">
        <v>2</v>
      </c>
      <c r="H115" s="9">
        <f t="shared" si="6"/>
        <v>3.085992</v>
      </c>
      <c r="I115" s="10">
        <v>3</v>
      </c>
      <c r="J115" s="8">
        <v>416</v>
      </c>
      <c r="K115" s="8">
        <v>630</v>
      </c>
      <c r="L115" s="1"/>
    </row>
    <row r="116" ht="21" customHeight="1" spans="1:12">
      <c r="A116" s="8">
        <v>8048</v>
      </c>
      <c r="B116" s="8" t="s">
        <v>246</v>
      </c>
      <c r="C116" s="8" t="s">
        <v>42</v>
      </c>
      <c r="D116" s="8" t="s">
        <v>243</v>
      </c>
      <c r="E116" s="8" t="s">
        <v>247</v>
      </c>
      <c r="F116" s="13" t="s">
        <v>248</v>
      </c>
      <c r="G116" s="8">
        <v>21</v>
      </c>
      <c r="H116" s="9">
        <f t="shared" si="6"/>
        <v>0.271296</v>
      </c>
      <c r="I116" s="10">
        <v>3</v>
      </c>
      <c r="J116" s="8">
        <v>192</v>
      </c>
      <c r="K116" s="8">
        <v>1260</v>
      </c>
      <c r="L116" s="1"/>
    </row>
    <row r="117" ht="21" customHeight="1" spans="1:12">
      <c r="A117" s="8">
        <v>8049</v>
      </c>
      <c r="B117" s="8" t="s">
        <v>249</v>
      </c>
      <c r="C117" s="8" t="s">
        <v>102</v>
      </c>
      <c r="D117" s="8" t="s">
        <v>250</v>
      </c>
      <c r="E117" s="8" t="s">
        <v>14</v>
      </c>
      <c r="F117" s="13" t="s">
        <v>251</v>
      </c>
      <c r="G117" s="8">
        <v>4</v>
      </c>
      <c r="H117" s="9">
        <f t="shared" si="6"/>
        <v>2.05485525</v>
      </c>
      <c r="I117" s="10">
        <v>3</v>
      </c>
      <c r="J117" s="8">
        <v>277</v>
      </c>
      <c r="K117" s="8">
        <v>1260</v>
      </c>
      <c r="L117" s="1"/>
    </row>
    <row r="118" ht="21" customHeight="1" spans="1:12">
      <c r="A118" s="8">
        <v>8050</v>
      </c>
      <c r="B118" s="8" t="s">
        <v>252</v>
      </c>
      <c r="C118" s="8" t="s">
        <v>42</v>
      </c>
      <c r="D118" s="8" t="s">
        <v>253</v>
      </c>
      <c r="E118" s="8" t="s">
        <v>14</v>
      </c>
      <c r="F118" s="13" t="s">
        <v>254</v>
      </c>
      <c r="G118" s="8">
        <v>2</v>
      </c>
      <c r="H118" s="9">
        <f t="shared" si="6"/>
        <v>2.94375</v>
      </c>
      <c r="I118" s="10">
        <v>3</v>
      </c>
      <c r="J118" s="8">
        <v>500</v>
      </c>
      <c r="K118" s="8">
        <v>500</v>
      </c>
      <c r="L118" s="1"/>
    </row>
    <row r="119" ht="21" customHeight="1" spans="1:12">
      <c r="A119" s="8">
        <v>8050</v>
      </c>
      <c r="B119" s="8" t="s">
        <v>255</v>
      </c>
      <c r="C119" s="8" t="s">
        <v>42</v>
      </c>
      <c r="D119" s="8" t="s">
        <v>253</v>
      </c>
      <c r="E119" s="8" t="s">
        <v>32</v>
      </c>
      <c r="F119" s="13" t="s">
        <v>15</v>
      </c>
      <c r="G119" s="8">
        <v>7</v>
      </c>
      <c r="H119" s="9">
        <f t="shared" si="6"/>
        <v>1.76625</v>
      </c>
      <c r="I119" s="10">
        <v>2.5</v>
      </c>
      <c r="J119" s="8">
        <v>500</v>
      </c>
      <c r="K119" s="8">
        <v>1260</v>
      </c>
      <c r="L119" s="1"/>
    </row>
    <row r="120" ht="21" customHeight="1" spans="1:12">
      <c r="A120" s="8">
        <v>8082</v>
      </c>
      <c r="B120" s="8" t="s">
        <v>256</v>
      </c>
      <c r="C120" s="8" t="s">
        <v>42</v>
      </c>
      <c r="D120" s="13" t="s">
        <v>257</v>
      </c>
      <c r="E120" s="13" t="s">
        <v>14</v>
      </c>
      <c r="F120" s="13" t="s">
        <v>30</v>
      </c>
      <c r="G120" s="8">
        <v>4</v>
      </c>
      <c r="H120" s="9">
        <f t="shared" si="6"/>
        <v>3.60032399999999</v>
      </c>
      <c r="I120" s="10">
        <v>3.5</v>
      </c>
      <c r="J120" s="8">
        <v>416</v>
      </c>
      <c r="K120" s="8">
        <v>1260</v>
      </c>
    </row>
    <row r="121" ht="21" customHeight="1" spans="1:12">
      <c r="A121" s="8">
        <v>8082</v>
      </c>
      <c r="B121" s="8" t="s">
        <v>258</v>
      </c>
      <c r="C121" s="8" t="s">
        <v>42</v>
      </c>
      <c r="D121" s="13" t="s">
        <v>257</v>
      </c>
      <c r="E121" s="13" t="s">
        <v>32</v>
      </c>
      <c r="F121" s="13" t="s">
        <v>110</v>
      </c>
      <c r="G121" s="8">
        <v>15</v>
      </c>
      <c r="H121" s="9">
        <f t="shared" si="6"/>
        <v>0.411465599999999</v>
      </c>
      <c r="I121" s="10">
        <v>2</v>
      </c>
      <c r="J121" s="8">
        <v>312</v>
      </c>
      <c r="K121" s="8">
        <v>1260</v>
      </c>
    </row>
    <row r="122" ht="21" customHeight="1" spans="1:12">
      <c r="A122" s="8">
        <v>8053</v>
      </c>
      <c r="B122" s="8" t="s">
        <v>259</v>
      </c>
      <c r="C122" s="8" t="s">
        <v>42</v>
      </c>
      <c r="D122" s="8" t="s">
        <v>260</v>
      </c>
      <c r="E122" s="8" t="s">
        <v>14</v>
      </c>
      <c r="F122" s="13" t="s">
        <v>110</v>
      </c>
      <c r="G122" s="8">
        <v>6</v>
      </c>
      <c r="H122" s="9">
        <f t="shared" si="6"/>
        <v>2.220608</v>
      </c>
      <c r="I122" s="10">
        <v>3</v>
      </c>
      <c r="J122" s="8">
        <v>416</v>
      </c>
      <c r="K122" s="8">
        <v>1360</v>
      </c>
      <c r="L122" s="1"/>
    </row>
    <row r="123" ht="21" customHeight="1" spans="1:12">
      <c r="A123" s="8">
        <v>8053</v>
      </c>
      <c r="B123" s="8" t="s">
        <v>261</v>
      </c>
      <c r="C123" s="8" t="s">
        <v>42</v>
      </c>
      <c r="D123" s="8" t="s">
        <v>260</v>
      </c>
      <c r="E123" s="8" t="s">
        <v>32</v>
      </c>
      <c r="F123" s="13" t="s">
        <v>262</v>
      </c>
      <c r="G123" s="8">
        <v>6</v>
      </c>
      <c r="H123" s="9">
        <f t="shared" si="6"/>
        <v>2.220608</v>
      </c>
      <c r="I123" s="10">
        <v>3</v>
      </c>
      <c r="J123" s="8">
        <v>416</v>
      </c>
      <c r="K123" s="8">
        <v>1360</v>
      </c>
      <c r="L123" s="1"/>
    </row>
    <row r="124" ht="21" customHeight="1" spans="1:12">
      <c r="A124" s="8">
        <v>8054</v>
      </c>
      <c r="B124" s="8" t="s">
        <v>263</v>
      </c>
      <c r="C124" s="8" t="s">
        <v>42</v>
      </c>
      <c r="D124" s="8" t="s">
        <v>264</v>
      </c>
      <c r="E124" s="8" t="s">
        <v>14</v>
      </c>
      <c r="F124" s="13" t="s">
        <v>265</v>
      </c>
      <c r="G124" s="8">
        <v>2</v>
      </c>
      <c r="H124" s="9">
        <f t="shared" si="6"/>
        <v>2.8931175</v>
      </c>
      <c r="I124" s="10">
        <v>3</v>
      </c>
      <c r="J124" s="8">
        <v>630</v>
      </c>
      <c r="K124" s="8">
        <v>390</v>
      </c>
      <c r="L124" s="1"/>
    </row>
    <row r="125" ht="21" customHeight="1" spans="1:12">
      <c r="A125" s="8">
        <v>8054</v>
      </c>
      <c r="B125" s="8" t="s">
        <v>266</v>
      </c>
      <c r="C125" s="8" t="s">
        <v>42</v>
      </c>
      <c r="D125" s="8" t="s">
        <v>264</v>
      </c>
      <c r="E125" s="8" t="s">
        <v>32</v>
      </c>
      <c r="F125" s="13" t="s">
        <v>267</v>
      </c>
      <c r="G125" s="8">
        <v>2</v>
      </c>
      <c r="H125" s="9">
        <f t="shared" si="6"/>
        <v>2.41093125</v>
      </c>
      <c r="I125" s="10">
        <v>2.5</v>
      </c>
      <c r="J125" s="8">
        <v>630</v>
      </c>
      <c r="K125" s="8">
        <v>390</v>
      </c>
      <c r="L125" s="1"/>
    </row>
    <row r="126" ht="21" customHeight="1" spans="1:12">
      <c r="A126" s="8">
        <v>8054</v>
      </c>
      <c r="B126" s="8" t="s">
        <v>268</v>
      </c>
      <c r="C126" s="8" t="s">
        <v>42</v>
      </c>
      <c r="D126" s="8" t="s">
        <v>264</v>
      </c>
      <c r="E126" s="8" t="s">
        <v>91</v>
      </c>
      <c r="F126" s="13" t="s">
        <v>248</v>
      </c>
      <c r="G126" s="47">
        <v>25</v>
      </c>
      <c r="H126" s="9">
        <f t="shared" si="6"/>
        <v>0.22788864</v>
      </c>
      <c r="I126" s="10">
        <v>3</v>
      </c>
      <c r="J126" s="8">
        <v>192</v>
      </c>
      <c r="K126" s="8">
        <v>1260</v>
      </c>
      <c r="L126" s="1"/>
    </row>
    <row r="127" ht="21" customHeight="1" spans="1:12">
      <c r="A127" s="8">
        <v>8056</v>
      </c>
      <c r="B127" s="8" t="s">
        <v>201</v>
      </c>
      <c r="C127" s="8" t="s">
        <v>42</v>
      </c>
      <c r="D127" s="8" t="s">
        <v>269</v>
      </c>
      <c r="E127" s="8" t="s">
        <v>14</v>
      </c>
      <c r="F127" s="13" t="s">
        <v>57</v>
      </c>
      <c r="G127" s="8">
        <v>6</v>
      </c>
      <c r="H127" s="9">
        <f t="shared" si="6"/>
        <v>2.041</v>
      </c>
      <c r="I127" s="10">
        <v>2.5</v>
      </c>
      <c r="J127" s="8">
        <v>416</v>
      </c>
      <c r="K127" s="8">
        <v>1500</v>
      </c>
      <c r="L127" s="1"/>
    </row>
    <row r="128" ht="21" customHeight="1" spans="1:12">
      <c r="A128" s="8">
        <v>8056</v>
      </c>
      <c r="B128" s="8" t="s">
        <v>203</v>
      </c>
      <c r="C128" s="8" t="s">
        <v>42</v>
      </c>
      <c r="D128" s="8" t="s">
        <v>269</v>
      </c>
      <c r="E128" s="8" t="s">
        <v>32</v>
      </c>
      <c r="F128" s="13" t="s">
        <v>88</v>
      </c>
      <c r="G128" s="8">
        <v>7</v>
      </c>
      <c r="H128" s="9">
        <f t="shared" si="6"/>
        <v>1.6328</v>
      </c>
      <c r="I128" s="10">
        <v>2.5</v>
      </c>
      <c r="J128" s="8">
        <v>416</v>
      </c>
      <c r="K128" s="8">
        <v>1400</v>
      </c>
      <c r="L128" s="1"/>
    </row>
    <row r="129" ht="21" customHeight="1" spans="1:12">
      <c r="A129" s="39">
        <v>8056</v>
      </c>
      <c r="B129" s="39" t="s">
        <v>270</v>
      </c>
      <c r="C129" s="39" t="s">
        <v>42</v>
      </c>
      <c r="D129" s="39" t="s">
        <v>269</v>
      </c>
      <c r="E129" s="39" t="s">
        <v>91</v>
      </c>
      <c r="F129" s="40"/>
      <c r="G129" s="39"/>
      <c r="H129" s="46"/>
      <c r="I129" s="41"/>
      <c r="J129" s="39"/>
      <c r="K129" s="39"/>
      <c r="L129" s="1"/>
    </row>
    <row r="130" ht="21" customHeight="1" spans="1:12">
      <c r="A130" s="8">
        <v>8057</v>
      </c>
      <c r="B130" s="8" t="s">
        <v>271</v>
      </c>
      <c r="C130" s="8" t="s">
        <v>42</v>
      </c>
      <c r="D130" s="13" t="s">
        <v>128</v>
      </c>
      <c r="E130" s="13" t="s">
        <v>14</v>
      </c>
      <c r="F130" s="13" t="s">
        <v>122</v>
      </c>
      <c r="G130" s="8">
        <v>4</v>
      </c>
      <c r="H130" s="9">
        <f t="shared" ref="H130:H135" si="7">J130*K130*7.84999999999999*I130/G130/1000000</f>
        <v>2.206929375</v>
      </c>
      <c r="I130" s="10">
        <v>2.5</v>
      </c>
      <c r="J130" s="8">
        <v>357</v>
      </c>
      <c r="K130" s="8">
        <v>1260</v>
      </c>
    </row>
    <row r="131" ht="21" customHeight="1" spans="1:12">
      <c r="A131" s="8">
        <v>8057</v>
      </c>
      <c r="B131" s="8" t="s">
        <v>272</v>
      </c>
      <c r="C131" s="8" t="s">
        <v>42</v>
      </c>
      <c r="D131" s="13" t="s">
        <v>128</v>
      </c>
      <c r="E131" s="13" t="s">
        <v>32</v>
      </c>
      <c r="F131" s="13" t="s">
        <v>122</v>
      </c>
      <c r="G131" s="8">
        <v>4</v>
      </c>
      <c r="H131" s="9">
        <f t="shared" si="7"/>
        <v>2.206929375</v>
      </c>
      <c r="I131" s="10">
        <v>2.5</v>
      </c>
      <c r="J131" s="8">
        <v>357</v>
      </c>
      <c r="K131" s="8">
        <v>1260</v>
      </c>
    </row>
    <row r="132" ht="21" customHeight="1" spans="1:12">
      <c r="A132" s="8">
        <v>8058</v>
      </c>
      <c r="B132" s="8" t="s">
        <v>273</v>
      </c>
      <c r="C132" s="8" t="s">
        <v>42</v>
      </c>
      <c r="D132" s="13" t="s">
        <v>274</v>
      </c>
      <c r="E132" s="13" t="s">
        <v>14</v>
      </c>
      <c r="F132" s="13" t="s">
        <v>275</v>
      </c>
      <c r="G132" s="8">
        <v>2</v>
      </c>
      <c r="H132" s="9">
        <f t="shared" si="7"/>
        <v>4.11465599999999</v>
      </c>
      <c r="I132" s="10">
        <v>4</v>
      </c>
      <c r="J132" s="8">
        <v>416</v>
      </c>
      <c r="K132" s="8">
        <v>630</v>
      </c>
    </row>
    <row r="133" ht="21" customHeight="1" spans="1:12">
      <c r="A133" s="48" t="s">
        <v>276</v>
      </c>
      <c r="B133" s="8" t="s">
        <v>277</v>
      </c>
      <c r="C133" s="8" t="s">
        <v>42</v>
      </c>
      <c r="D133" s="13" t="s">
        <v>278</v>
      </c>
      <c r="E133" s="13" t="s">
        <v>14</v>
      </c>
      <c r="F133" s="13" t="s">
        <v>279</v>
      </c>
      <c r="G133" s="8">
        <v>24</v>
      </c>
      <c r="H133" s="9">
        <f t="shared" si="7"/>
        <v>4.08854166666666</v>
      </c>
      <c r="I133" s="10">
        <v>4</v>
      </c>
      <c r="J133" s="8">
        <v>1250</v>
      </c>
      <c r="K133" s="8">
        <v>2500</v>
      </c>
    </row>
    <row r="134" ht="21" customHeight="1" spans="1:12">
      <c r="A134" s="8">
        <v>8059</v>
      </c>
      <c r="B134" s="8" t="s">
        <v>280</v>
      </c>
      <c r="C134" s="8" t="s">
        <v>42</v>
      </c>
      <c r="D134" s="8" t="s">
        <v>281</v>
      </c>
      <c r="E134" s="8" t="s">
        <v>14</v>
      </c>
      <c r="F134" s="13" t="s">
        <v>282</v>
      </c>
      <c r="G134" s="8">
        <v>6</v>
      </c>
      <c r="H134" s="9">
        <f t="shared" si="7"/>
        <v>2.2451</v>
      </c>
      <c r="I134" s="10">
        <v>2.5</v>
      </c>
      <c r="J134" s="8">
        <v>416</v>
      </c>
      <c r="K134" s="8">
        <v>1650</v>
      </c>
      <c r="L134" s="1"/>
    </row>
    <row r="135" ht="21" customHeight="1" spans="1:12">
      <c r="A135" s="8">
        <v>8059</v>
      </c>
      <c r="B135" s="8" t="s">
        <v>283</v>
      </c>
      <c r="C135" s="8" t="s">
        <v>42</v>
      </c>
      <c r="D135" s="8" t="s">
        <v>281</v>
      </c>
      <c r="E135" s="8" t="s">
        <v>32</v>
      </c>
      <c r="F135" s="13" t="s">
        <v>284</v>
      </c>
      <c r="G135" s="8">
        <v>6</v>
      </c>
      <c r="H135" s="9">
        <f t="shared" si="7"/>
        <v>2.16346</v>
      </c>
      <c r="I135" s="10">
        <v>2.5</v>
      </c>
      <c r="J135" s="8">
        <v>416</v>
      </c>
      <c r="K135" s="8">
        <v>1590</v>
      </c>
      <c r="L135" s="1"/>
    </row>
    <row r="136" ht="21" customHeight="1" spans="1:12">
      <c r="A136" s="39">
        <v>8059</v>
      </c>
      <c r="B136" s="39" t="s">
        <v>285</v>
      </c>
      <c r="C136" s="39" t="s">
        <v>42</v>
      </c>
      <c r="D136" s="39" t="s">
        <v>281</v>
      </c>
      <c r="E136" s="39" t="s">
        <v>91</v>
      </c>
      <c r="F136" s="40"/>
      <c r="G136" s="39"/>
      <c r="H136" s="46"/>
      <c r="I136" s="41"/>
      <c r="J136" s="39"/>
      <c r="K136" s="39"/>
      <c r="L136" s="1"/>
    </row>
    <row r="137" ht="21" customHeight="1" spans="1:12">
      <c r="A137" s="8">
        <v>8060</v>
      </c>
      <c r="B137" s="8" t="s">
        <v>286</v>
      </c>
      <c r="C137" s="8" t="s">
        <v>42</v>
      </c>
      <c r="D137" s="13" t="s">
        <v>287</v>
      </c>
      <c r="E137" s="13" t="s">
        <v>14</v>
      </c>
      <c r="F137" s="13" t="s">
        <v>275</v>
      </c>
      <c r="G137" s="8">
        <v>2</v>
      </c>
      <c r="H137" s="9">
        <f>J137*K137*7.84999999999999*I137/G137/1000000</f>
        <v>4.11465599999999</v>
      </c>
      <c r="I137" s="10">
        <v>4</v>
      </c>
      <c r="J137" s="8">
        <v>416</v>
      </c>
      <c r="K137" s="8">
        <v>630</v>
      </c>
    </row>
    <row r="138" ht="21" customHeight="1" spans="1:12">
      <c r="A138" s="8">
        <v>8061</v>
      </c>
      <c r="B138" s="8" t="s">
        <v>288</v>
      </c>
      <c r="C138" s="8" t="s">
        <v>42</v>
      </c>
      <c r="D138" s="8" t="s">
        <v>289</v>
      </c>
      <c r="E138" s="8" t="s">
        <v>14</v>
      </c>
      <c r="F138" s="13" t="s">
        <v>290</v>
      </c>
      <c r="G138" s="8">
        <v>6</v>
      </c>
      <c r="H138" s="9">
        <f>J138*K138*7.84999999999999*I138/G138/1000000</f>
        <v>2.27911666666666</v>
      </c>
      <c r="I138" s="10">
        <v>2.5</v>
      </c>
      <c r="J138" s="8">
        <v>416</v>
      </c>
      <c r="K138" s="8">
        <v>1675</v>
      </c>
      <c r="L138" s="1"/>
    </row>
    <row r="139" ht="21" customHeight="1" spans="1:12">
      <c r="A139" s="8">
        <v>8061</v>
      </c>
      <c r="B139" s="8" t="s">
        <v>291</v>
      </c>
      <c r="C139" s="8" t="s">
        <v>42</v>
      </c>
      <c r="D139" s="8" t="s">
        <v>289</v>
      </c>
      <c r="E139" s="8" t="s">
        <v>32</v>
      </c>
      <c r="F139" s="13" t="s">
        <v>290</v>
      </c>
      <c r="G139" s="8">
        <v>6</v>
      </c>
      <c r="H139" s="9">
        <f>J139*K139*7.84999999999999*I139/G139/1000000</f>
        <v>2.27911666666666</v>
      </c>
      <c r="I139" s="10">
        <v>2.5</v>
      </c>
      <c r="J139" s="8">
        <v>416</v>
      </c>
      <c r="K139" s="8">
        <v>1675</v>
      </c>
      <c r="L139" s="1"/>
    </row>
    <row r="140" ht="21" customHeight="1" spans="1:12">
      <c r="A140" s="39">
        <v>8061</v>
      </c>
      <c r="B140" s="39" t="s">
        <v>292</v>
      </c>
      <c r="C140" s="39" t="s">
        <v>42</v>
      </c>
      <c r="D140" s="39" t="s">
        <v>289</v>
      </c>
      <c r="E140" s="39" t="s">
        <v>160</v>
      </c>
      <c r="F140" s="40"/>
      <c r="G140" s="39"/>
      <c r="H140" s="46"/>
      <c r="I140" s="41"/>
      <c r="J140" s="39"/>
      <c r="K140" s="39"/>
      <c r="L140" s="1"/>
    </row>
    <row r="141" ht="21" customHeight="1" spans="1:12">
      <c r="A141" s="39">
        <v>8061</v>
      </c>
      <c r="B141" s="39" t="s">
        <v>293</v>
      </c>
      <c r="C141" s="39" t="s">
        <v>42</v>
      </c>
      <c r="D141" s="39" t="s">
        <v>289</v>
      </c>
      <c r="E141" s="39" t="s">
        <v>294</v>
      </c>
      <c r="F141" s="40"/>
      <c r="G141" s="39"/>
      <c r="H141" s="46"/>
      <c r="I141" s="41"/>
      <c r="J141" s="39"/>
      <c r="K141" s="39"/>
      <c r="L141" s="1"/>
    </row>
    <row r="142" ht="21" customHeight="1" spans="1:12">
      <c r="A142" s="39">
        <v>8061</v>
      </c>
      <c r="B142" s="39" t="s">
        <v>295</v>
      </c>
      <c r="C142" s="39" t="s">
        <v>42</v>
      </c>
      <c r="D142" s="39" t="s">
        <v>289</v>
      </c>
      <c r="E142" s="39" t="s">
        <v>294</v>
      </c>
      <c r="F142" s="40"/>
      <c r="G142" s="39"/>
      <c r="H142" s="46"/>
      <c r="I142" s="41"/>
      <c r="J142" s="39"/>
      <c r="K142" s="39"/>
      <c r="L142" s="1"/>
    </row>
    <row r="143" ht="21" customHeight="1" spans="1:12">
      <c r="A143" s="8">
        <v>8062</v>
      </c>
      <c r="B143" s="8" t="s">
        <v>296</v>
      </c>
      <c r="C143" s="8" t="s">
        <v>42</v>
      </c>
      <c r="D143" s="8" t="s">
        <v>297</v>
      </c>
      <c r="E143" s="8" t="s">
        <v>14</v>
      </c>
      <c r="F143" s="13" t="s">
        <v>65</v>
      </c>
      <c r="G143" s="8">
        <v>4</v>
      </c>
      <c r="H143" s="9">
        <f t="shared" ref="H143:H166" si="8">J143*K143*7.84999999999999*I143/G143/1000000</f>
        <v>2.64831525</v>
      </c>
      <c r="I143" s="10">
        <v>3</v>
      </c>
      <c r="J143" s="8">
        <v>357</v>
      </c>
      <c r="K143" s="8">
        <v>1260</v>
      </c>
      <c r="L143" s="1"/>
    </row>
    <row r="144" ht="21" customHeight="1" spans="1:12">
      <c r="A144" s="8">
        <v>8062</v>
      </c>
      <c r="B144" s="8" t="s">
        <v>298</v>
      </c>
      <c r="C144" s="8" t="s">
        <v>42</v>
      </c>
      <c r="D144" s="8" t="s">
        <v>297</v>
      </c>
      <c r="E144" s="8" t="s">
        <v>32</v>
      </c>
      <c r="F144" s="13" t="s">
        <v>57</v>
      </c>
      <c r="G144" s="8">
        <v>8</v>
      </c>
      <c r="H144" s="9">
        <f t="shared" si="8"/>
        <v>1.53075</v>
      </c>
      <c r="I144" s="10">
        <v>2.5</v>
      </c>
      <c r="J144" s="8">
        <v>416</v>
      </c>
      <c r="K144" s="8">
        <v>1500</v>
      </c>
      <c r="L144" s="1"/>
    </row>
    <row r="145" ht="21" customHeight="1" spans="1:12">
      <c r="A145" s="8">
        <v>8062</v>
      </c>
      <c r="B145" s="8" t="s">
        <v>299</v>
      </c>
      <c r="C145" s="8" t="s">
        <v>42</v>
      </c>
      <c r="D145" s="13" t="s">
        <v>297</v>
      </c>
      <c r="E145" s="13" t="s">
        <v>138</v>
      </c>
      <c r="F145" s="13" t="s">
        <v>300</v>
      </c>
      <c r="G145" s="8">
        <v>28</v>
      </c>
      <c r="H145" s="9">
        <f t="shared" si="8"/>
        <v>0.243212625</v>
      </c>
      <c r="I145" s="10">
        <v>4.5</v>
      </c>
      <c r="J145" s="8">
        <v>153</v>
      </c>
      <c r="K145" s="8">
        <v>1260</v>
      </c>
    </row>
    <row r="146" ht="21" customHeight="1" spans="1:12">
      <c r="A146" s="8">
        <v>8062</v>
      </c>
      <c r="B146" s="8" t="s">
        <v>301</v>
      </c>
      <c r="C146" s="8" t="s">
        <v>302</v>
      </c>
      <c r="D146" s="13" t="s">
        <v>297</v>
      </c>
      <c r="E146" s="13" t="s">
        <v>303</v>
      </c>
      <c r="F146" s="13" t="s">
        <v>304</v>
      </c>
      <c r="G146" s="8">
        <v>20</v>
      </c>
      <c r="H146" s="9">
        <f t="shared" si="8"/>
        <v>0.406767375</v>
      </c>
      <c r="I146" s="10">
        <v>3.5</v>
      </c>
      <c r="J146" s="8">
        <v>235</v>
      </c>
      <c r="K146" s="8">
        <v>1260</v>
      </c>
    </row>
    <row r="147" ht="21" customHeight="1" spans="1:12">
      <c r="A147" s="8">
        <v>8063</v>
      </c>
      <c r="B147" s="8" t="s">
        <v>305</v>
      </c>
      <c r="C147" s="8" t="s">
        <v>42</v>
      </c>
      <c r="D147" s="8" t="s">
        <v>306</v>
      </c>
      <c r="E147" s="8" t="s">
        <v>14</v>
      </c>
      <c r="F147" s="13" t="s">
        <v>307</v>
      </c>
      <c r="G147" s="8">
        <v>3</v>
      </c>
      <c r="H147" s="9">
        <f t="shared" si="8"/>
        <v>3.085992</v>
      </c>
      <c r="I147" s="10">
        <v>3</v>
      </c>
      <c r="J147" s="8">
        <v>312</v>
      </c>
      <c r="K147" s="8">
        <v>1260</v>
      </c>
      <c r="L147" s="1"/>
    </row>
    <row r="148" ht="21" customHeight="1" spans="1:12">
      <c r="A148" s="8">
        <v>8063</v>
      </c>
      <c r="B148" s="8" t="s">
        <v>308</v>
      </c>
      <c r="C148" s="8" t="s">
        <v>42</v>
      </c>
      <c r="D148" s="8" t="s">
        <v>306</v>
      </c>
      <c r="E148" s="8" t="s">
        <v>32</v>
      </c>
      <c r="F148" s="13" t="s">
        <v>309</v>
      </c>
      <c r="G148" s="8">
        <v>10</v>
      </c>
      <c r="H148" s="9">
        <f t="shared" si="8"/>
        <v>0.821942099999999</v>
      </c>
      <c r="I148" s="10">
        <v>3</v>
      </c>
      <c r="J148" s="8">
        <v>277</v>
      </c>
      <c r="K148" s="8">
        <v>1260</v>
      </c>
      <c r="L148" s="1"/>
    </row>
    <row r="149" ht="21" customHeight="1" spans="1:12">
      <c r="A149" s="8">
        <v>8063</v>
      </c>
      <c r="B149" s="8" t="s">
        <v>310</v>
      </c>
      <c r="C149" s="8" t="s">
        <v>302</v>
      </c>
      <c r="D149" s="8" t="s">
        <v>306</v>
      </c>
      <c r="E149" s="13" t="s">
        <v>311</v>
      </c>
      <c r="F149" s="13" t="s">
        <v>312</v>
      </c>
      <c r="G149" s="8">
        <v>22</v>
      </c>
      <c r="H149" s="9">
        <f t="shared" si="8"/>
        <v>0.229291363636363</v>
      </c>
      <c r="I149" s="10">
        <v>3</v>
      </c>
      <c r="J149" s="8">
        <v>170</v>
      </c>
      <c r="K149" s="8">
        <v>1260</v>
      </c>
    </row>
    <row r="150" ht="21" customHeight="1" spans="1:12">
      <c r="A150" s="8">
        <v>8063</v>
      </c>
      <c r="B150" s="8" t="s">
        <v>313</v>
      </c>
      <c r="C150" s="8" t="s">
        <v>302</v>
      </c>
      <c r="D150" s="8" t="s">
        <v>306</v>
      </c>
      <c r="E150" s="13" t="s">
        <v>314</v>
      </c>
      <c r="F150" s="13" t="s">
        <v>312</v>
      </c>
      <c r="G150" s="8">
        <v>22</v>
      </c>
      <c r="H150" s="9">
        <f t="shared" si="8"/>
        <v>0.229291363636363</v>
      </c>
      <c r="I150" s="10">
        <v>3</v>
      </c>
      <c r="J150" s="8">
        <v>170</v>
      </c>
      <c r="K150" s="8">
        <v>1260</v>
      </c>
    </row>
    <row r="151" ht="21" customHeight="1" spans="1:12">
      <c r="A151" s="8">
        <v>8064</v>
      </c>
      <c r="B151" s="8" t="s">
        <v>315</v>
      </c>
      <c r="C151" s="8" t="s">
        <v>42</v>
      </c>
      <c r="D151" s="13" t="s">
        <v>316</v>
      </c>
      <c r="E151" s="13" t="s">
        <v>14</v>
      </c>
      <c r="F151" s="13" t="s">
        <v>317</v>
      </c>
      <c r="G151" s="8">
        <v>7</v>
      </c>
      <c r="H151" s="9">
        <f t="shared" si="8"/>
        <v>1.1833875</v>
      </c>
      <c r="I151" s="10">
        <v>2.5</v>
      </c>
      <c r="J151" s="8">
        <v>335</v>
      </c>
      <c r="K151" s="8">
        <v>1260</v>
      </c>
    </row>
    <row r="152" ht="21" customHeight="1" spans="1:12">
      <c r="A152" s="8">
        <v>8064</v>
      </c>
      <c r="B152" s="8" t="s">
        <v>318</v>
      </c>
      <c r="C152" s="8" t="s">
        <v>42</v>
      </c>
      <c r="D152" s="13" t="s">
        <v>316</v>
      </c>
      <c r="E152" s="13" t="s">
        <v>32</v>
      </c>
      <c r="F152" s="13" t="s">
        <v>106</v>
      </c>
      <c r="G152" s="8">
        <v>21</v>
      </c>
      <c r="H152" s="9">
        <f t="shared" si="8"/>
        <v>0.2355</v>
      </c>
      <c r="I152" s="10">
        <v>2</v>
      </c>
      <c r="J152" s="8">
        <v>250</v>
      </c>
      <c r="K152" s="8">
        <v>1260</v>
      </c>
    </row>
    <row r="153" ht="21" customHeight="1" spans="1:12">
      <c r="A153" s="8">
        <v>8070</v>
      </c>
      <c r="B153" s="8" t="s">
        <v>319</v>
      </c>
      <c r="C153" s="8" t="s">
        <v>42</v>
      </c>
      <c r="D153" s="13" t="s">
        <v>320</v>
      </c>
      <c r="E153" s="13" t="s">
        <v>14</v>
      </c>
      <c r="F153" s="13" t="s">
        <v>69</v>
      </c>
      <c r="G153" s="8">
        <v>2</v>
      </c>
      <c r="H153" s="9">
        <f t="shared" si="8"/>
        <v>2.8574</v>
      </c>
      <c r="I153" s="10">
        <v>3.5</v>
      </c>
      <c r="J153" s="8">
        <v>416</v>
      </c>
      <c r="K153" s="8">
        <v>500</v>
      </c>
    </row>
    <row r="154" ht="21" customHeight="1" spans="1:12">
      <c r="A154" s="8">
        <v>8071</v>
      </c>
      <c r="B154" s="8" t="s">
        <v>321</v>
      </c>
      <c r="C154" s="8" t="s">
        <v>42</v>
      </c>
      <c r="D154" s="13" t="s">
        <v>322</v>
      </c>
      <c r="E154" s="13" t="s">
        <v>14</v>
      </c>
      <c r="F154" s="13" t="s">
        <v>44</v>
      </c>
      <c r="G154" s="8">
        <v>5</v>
      </c>
      <c r="H154" s="9">
        <f t="shared" si="8"/>
        <v>3.46185</v>
      </c>
      <c r="I154" s="10">
        <v>3.5</v>
      </c>
      <c r="J154" s="8">
        <v>500</v>
      </c>
      <c r="K154" s="8">
        <v>1260</v>
      </c>
    </row>
    <row r="155" ht="21" customHeight="1" spans="1:12">
      <c r="A155" s="8">
        <v>8071</v>
      </c>
      <c r="B155" s="8" t="s">
        <v>323</v>
      </c>
      <c r="C155" s="8" t="s">
        <v>42</v>
      </c>
      <c r="D155" s="13" t="s">
        <v>322</v>
      </c>
      <c r="E155" s="13" t="s">
        <v>32</v>
      </c>
      <c r="F155" s="13" t="s">
        <v>324</v>
      </c>
      <c r="G155" s="8">
        <v>30</v>
      </c>
      <c r="H155" s="9">
        <f t="shared" si="8"/>
        <v>0.1173732</v>
      </c>
      <c r="I155" s="10">
        <v>2</v>
      </c>
      <c r="J155" s="8">
        <v>178</v>
      </c>
      <c r="K155" s="8">
        <v>1260</v>
      </c>
    </row>
    <row r="156" ht="21" customHeight="1" spans="1:12">
      <c r="A156" s="8">
        <v>8072</v>
      </c>
      <c r="B156" s="8" t="s">
        <v>325</v>
      </c>
      <c r="C156" s="8" t="s">
        <v>42</v>
      </c>
      <c r="D156" s="13" t="s">
        <v>326</v>
      </c>
      <c r="E156" s="8" t="s">
        <v>14</v>
      </c>
      <c r="F156" s="13" t="s">
        <v>83</v>
      </c>
      <c r="G156" s="8">
        <v>4</v>
      </c>
      <c r="H156" s="9">
        <f t="shared" si="8"/>
        <v>3.089701125</v>
      </c>
      <c r="I156" s="10">
        <v>3.5</v>
      </c>
      <c r="J156" s="8">
        <v>357</v>
      </c>
      <c r="K156" s="8">
        <v>1260</v>
      </c>
    </row>
    <row r="157" ht="21" customHeight="1" spans="1:12">
      <c r="A157" s="8">
        <v>8073</v>
      </c>
      <c r="B157" s="8" t="s">
        <v>327</v>
      </c>
      <c r="C157" s="8" t="s">
        <v>42</v>
      </c>
      <c r="D157" s="13" t="s">
        <v>328</v>
      </c>
      <c r="E157" s="8" t="s">
        <v>14</v>
      </c>
      <c r="F157" s="13" t="s">
        <v>33</v>
      </c>
      <c r="G157" s="8">
        <v>4</v>
      </c>
      <c r="H157" s="9">
        <f t="shared" si="8"/>
        <v>2.57166</v>
      </c>
      <c r="I157" s="10">
        <v>2.5</v>
      </c>
      <c r="J157" s="8">
        <v>416</v>
      </c>
      <c r="K157" s="8">
        <v>1260</v>
      </c>
    </row>
    <row r="158" ht="21" customHeight="1" spans="1:12">
      <c r="A158" s="8">
        <v>8073</v>
      </c>
      <c r="B158" s="8" t="s">
        <v>329</v>
      </c>
      <c r="C158" s="8" t="s">
        <v>42</v>
      </c>
      <c r="D158" s="13" t="s">
        <v>328</v>
      </c>
      <c r="E158" s="8" t="s">
        <v>32</v>
      </c>
      <c r="F158" s="13" t="s">
        <v>85</v>
      </c>
      <c r="G158" s="8">
        <v>4</v>
      </c>
      <c r="H158" s="9">
        <f t="shared" si="8"/>
        <v>1.7655435</v>
      </c>
      <c r="I158" s="10">
        <v>2</v>
      </c>
      <c r="J158" s="8">
        <v>357</v>
      </c>
      <c r="K158" s="8">
        <v>1260</v>
      </c>
    </row>
    <row r="159" ht="21" customHeight="1" spans="1:12">
      <c r="A159" s="8">
        <v>8076</v>
      </c>
      <c r="B159" s="8" t="s">
        <v>330</v>
      </c>
      <c r="C159" s="8" t="s">
        <v>42</v>
      </c>
      <c r="D159" s="13" t="s">
        <v>331</v>
      </c>
      <c r="E159" s="8" t="s">
        <v>32</v>
      </c>
      <c r="F159" s="13" t="s">
        <v>275</v>
      </c>
      <c r="G159" s="8">
        <v>2</v>
      </c>
      <c r="H159" s="9">
        <f t="shared" si="8"/>
        <v>4.11465599999999</v>
      </c>
      <c r="I159" s="10">
        <v>4</v>
      </c>
      <c r="J159" s="8">
        <v>416</v>
      </c>
      <c r="K159" s="8">
        <v>630</v>
      </c>
    </row>
    <row r="160" ht="21" customHeight="1" spans="1:12">
      <c r="A160" s="8">
        <v>8077</v>
      </c>
      <c r="B160" s="8" t="s">
        <v>332</v>
      </c>
      <c r="C160" s="8" t="s">
        <v>42</v>
      </c>
      <c r="D160" s="13" t="s">
        <v>333</v>
      </c>
      <c r="E160" s="13" t="s">
        <v>14</v>
      </c>
      <c r="F160" s="13" t="s">
        <v>334</v>
      </c>
      <c r="G160" s="8">
        <v>2</v>
      </c>
      <c r="H160" s="9">
        <f t="shared" si="8"/>
        <v>4.32731249999999</v>
      </c>
      <c r="I160" s="10">
        <v>3.5</v>
      </c>
      <c r="J160" s="8">
        <v>500</v>
      </c>
      <c r="K160" s="8">
        <v>630</v>
      </c>
    </row>
    <row r="161" ht="21" customHeight="1" spans="1:12">
      <c r="A161" s="8">
        <v>8077</v>
      </c>
      <c r="B161" s="8" t="s">
        <v>335</v>
      </c>
      <c r="C161" s="8" t="s">
        <v>42</v>
      </c>
      <c r="D161" s="13" t="s">
        <v>333</v>
      </c>
      <c r="E161" s="13" t="s">
        <v>32</v>
      </c>
      <c r="F161" s="13" t="s">
        <v>336</v>
      </c>
      <c r="G161" s="8">
        <v>20</v>
      </c>
      <c r="H161" s="9">
        <f t="shared" si="8"/>
        <v>0.2720025</v>
      </c>
      <c r="I161" s="10">
        <v>2.5</v>
      </c>
      <c r="J161" s="8">
        <v>220</v>
      </c>
      <c r="K161" s="8">
        <v>1260</v>
      </c>
    </row>
    <row r="162" ht="21" customHeight="1" spans="1:12">
      <c r="A162" s="42" t="s">
        <v>337</v>
      </c>
      <c r="B162" s="8" t="s">
        <v>338</v>
      </c>
      <c r="C162" s="8" t="s">
        <v>42</v>
      </c>
      <c r="D162" s="13" t="s">
        <v>339</v>
      </c>
      <c r="E162" s="13" t="s">
        <v>160</v>
      </c>
      <c r="F162" s="13" t="s">
        <v>33</v>
      </c>
      <c r="G162" s="8">
        <v>17</v>
      </c>
      <c r="H162" s="9">
        <f t="shared" si="8"/>
        <v>0.605096470588234</v>
      </c>
      <c r="I162" s="10">
        <v>2.5</v>
      </c>
      <c r="J162" s="8">
        <v>416</v>
      </c>
      <c r="K162" s="8">
        <v>1260</v>
      </c>
    </row>
    <row r="163" ht="21" customHeight="1" spans="1:12">
      <c r="A163" s="42" t="s">
        <v>337</v>
      </c>
      <c r="B163" s="42" t="s">
        <v>332</v>
      </c>
      <c r="C163" s="42" t="s">
        <v>42</v>
      </c>
      <c r="D163" s="43" t="s">
        <v>333</v>
      </c>
      <c r="E163" s="43" t="s">
        <v>14</v>
      </c>
      <c r="F163" s="43" t="s">
        <v>334</v>
      </c>
      <c r="G163" s="42">
        <v>2</v>
      </c>
      <c r="H163" s="44">
        <f t="shared" si="8"/>
        <v>4.32731249999999</v>
      </c>
      <c r="I163" s="45">
        <v>3.5</v>
      </c>
      <c r="J163" s="42">
        <v>500</v>
      </c>
      <c r="K163" s="42">
        <v>630</v>
      </c>
    </row>
    <row r="164" ht="21" customHeight="1" spans="1:12">
      <c r="A164" s="42" t="s">
        <v>337</v>
      </c>
      <c r="B164" s="42" t="s">
        <v>335</v>
      </c>
      <c r="C164" s="42" t="s">
        <v>42</v>
      </c>
      <c r="D164" s="43" t="s">
        <v>333</v>
      </c>
      <c r="E164" s="43" t="s">
        <v>32</v>
      </c>
      <c r="F164" s="43" t="s">
        <v>340</v>
      </c>
      <c r="G164" s="42">
        <v>20</v>
      </c>
      <c r="H164" s="44">
        <f t="shared" si="8"/>
        <v>0.280657125</v>
      </c>
      <c r="I164" s="45">
        <v>2.5</v>
      </c>
      <c r="J164" s="42">
        <v>227</v>
      </c>
      <c r="K164" s="42">
        <v>1260</v>
      </c>
    </row>
    <row r="165" ht="21" customHeight="1" spans="1:12">
      <c r="A165" s="42" t="s">
        <v>337</v>
      </c>
      <c r="B165" s="42" t="s">
        <v>338</v>
      </c>
      <c r="C165" s="42" t="s">
        <v>42</v>
      </c>
      <c r="D165" s="43" t="s">
        <v>339</v>
      </c>
      <c r="E165" s="43" t="s">
        <v>160</v>
      </c>
      <c r="F165" s="43" t="s">
        <v>33</v>
      </c>
      <c r="G165" s="49">
        <v>10</v>
      </c>
      <c r="H165" s="44">
        <f t="shared" si="8"/>
        <v>1.028664</v>
      </c>
      <c r="I165" s="45">
        <v>2.5</v>
      </c>
      <c r="J165" s="42">
        <v>416</v>
      </c>
      <c r="K165" s="42">
        <v>1260</v>
      </c>
    </row>
    <row r="166" ht="21" customHeight="1" spans="1:12">
      <c r="A166" s="8">
        <v>8078</v>
      </c>
      <c r="B166" s="8" t="s">
        <v>341</v>
      </c>
      <c r="C166" s="8" t="s">
        <v>42</v>
      </c>
      <c r="D166" s="13" t="s">
        <v>342</v>
      </c>
      <c r="E166" s="13" t="s">
        <v>14</v>
      </c>
      <c r="F166" s="13" t="s">
        <v>30</v>
      </c>
      <c r="G166" s="8">
        <v>4</v>
      </c>
      <c r="H166" s="36">
        <f t="shared" ref="H166:H177" si="9">J166*K166*7.85*I166/G166/1000000</f>
        <v>3.600324</v>
      </c>
      <c r="I166" s="10">
        <v>3.5</v>
      </c>
      <c r="J166" s="8">
        <v>416</v>
      </c>
      <c r="K166" s="8">
        <v>1260</v>
      </c>
    </row>
    <row r="167" ht="21" customHeight="1" spans="1:12">
      <c r="A167" s="8">
        <v>8078</v>
      </c>
      <c r="B167" s="8" t="s">
        <v>343</v>
      </c>
      <c r="C167" s="8" t="s">
        <v>42</v>
      </c>
      <c r="D167" s="13" t="s">
        <v>342</v>
      </c>
      <c r="E167" s="13" t="s">
        <v>32</v>
      </c>
      <c r="F167" s="13" t="s">
        <v>106</v>
      </c>
      <c r="G167" s="8">
        <v>15</v>
      </c>
      <c r="H167" s="36">
        <f t="shared" si="9"/>
        <v>0.3297</v>
      </c>
      <c r="I167" s="10">
        <v>2</v>
      </c>
      <c r="J167" s="8">
        <v>250</v>
      </c>
      <c r="K167" s="8">
        <v>1260</v>
      </c>
    </row>
    <row r="168" ht="21" customHeight="1" spans="1:12">
      <c r="A168" s="8">
        <v>8078</v>
      </c>
      <c r="B168" s="8" t="s">
        <v>344</v>
      </c>
      <c r="C168" s="8" t="s">
        <v>42</v>
      </c>
      <c r="D168" s="13" t="s">
        <v>345</v>
      </c>
      <c r="E168" s="13" t="s">
        <v>346</v>
      </c>
      <c r="F168" s="13" t="s">
        <v>76</v>
      </c>
      <c r="G168" s="8">
        <v>60</v>
      </c>
      <c r="H168" s="36">
        <f t="shared" si="9"/>
        <v>0.060582375</v>
      </c>
      <c r="I168" s="10">
        <v>2.5</v>
      </c>
      <c r="J168" s="8">
        <v>147</v>
      </c>
      <c r="K168" s="8">
        <v>1260</v>
      </c>
    </row>
    <row r="169" ht="21" customHeight="1" spans="1:12">
      <c r="A169" s="42" t="s">
        <v>347</v>
      </c>
      <c r="B169" s="42" t="s">
        <v>348</v>
      </c>
      <c r="C169" s="42" t="s">
        <v>42</v>
      </c>
      <c r="D169" s="43"/>
      <c r="E169" s="43" t="s">
        <v>14</v>
      </c>
      <c r="F169" s="43" t="s">
        <v>30</v>
      </c>
      <c r="G169" s="42">
        <v>4</v>
      </c>
      <c r="H169" s="50">
        <f t="shared" si="9"/>
        <v>3.600324</v>
      </c>
      <c r="I169" s="45">
        <v>3.5</v>
      </c>
      <c r="J169" s="42">
        <v>416</v>
      </c>
      <c r="K169" s="42">
        <v>1260</v>
      </c>
    </row>
    <row r="170" ht="21" customHeight="1" spans="1:12">
      <c r="A170" s="42" t="s">
        <v>347</v>
      </c>
      <c r="B170" s="42" t="s">
        <v>349</v>
      </c>
      <c r="C170" s="42" t="s">
        <v>42</v>
      </c>
      <c r="D170" s="43"/>
      <c r="E170" s="43" t="s">
        <v>32</v>
      </c>
      <c r="F170" s="43" t="s">
        <v>104</v>
      </c>
      <c r="G170" s="42">
        <v>15</v>
      </c>
      <c r="H170" s="50">
        <f t="shared" si="9"/>
        <v>0.412125</v>
      </c>
      <c r="I170" s="45">
        <v>2.5</v>
      </c>
      <c r="J170" s="42">
        <v>250</v>
      </c>
      <c r="K170" s="42">
        <v>1260</v>
      </c>
    </row>
    <row r="171" ht="21" customHeight="1" spans="1:12">
      <c r="A171" s="42" t="s">
        <v>347</v>
      </c>
      <c r="B171" s="42" t="s">
        <v>344</v>
      </c>
      <c r="C171" s="42" t="s">
        <v>42</v>
      </c>
      <c r="D171" s="43"/>
      <c r="E171" s="43" t="s">
        <v>346</v>
      </c>
      <c r="F171" s="43" t="s">
        <v>76</v>
      </c>
      <c r="G171" s="49">
        <v>50</v>
      </c>
      <c r="H171" s="50">
        <f t="shared" si="9"/>
        <v>0.07269885</v>
      </c>
      <c r="I171" s="45">
        <v>2.5</v>
      </c>
      <c r="J171" s="42">
        <v>147</v>
      </c>
      <c r="K171" s="42">
        <v>1260</v>
      </c>
    </row>
    <row r="172" ht="21" customHeight="1" spans="1:12">
      <c r="A172" s="8">
        <v>8079</v>
      </c>
      <c r="B172" s="8" t="s">
        <v>350</v>
      </c>
      <c r="C172" s="8" t="s">
        <v>42</v>
      </c>
      <c r="D172" s="13" t="s">
        <v>351</v>
      </c>
      <c r="E172" s="13" t="s">
        <v>14</v>
      </c>
      <c r="F172" s="13" t="s">
        <v>352</v>
      </c>
      <c r="G172" s="8">
        <v>4</v>
      </c>
      <c r="H172" s="9">
        <f t="shared" si="9"/>
        <v>2.206929375</v>
      </c>
      <c r="I172" s="10">
        <v>2.5</v>
      </c>
      <c r="J172" s="8">
        <v>357</v>
      </c>
      <c r="K172" s="8">
        <v>1260</v>
      </c>
    </row>
    <row r="173" ht="21" customHeight="1" spans="1:12">
      <c r="A173" s="8">
        <v>8079</v>
      </c>
      <c r="B173" s="8" t="s">
        <v>353</v>
      </c>
      <c r="C173" s="8" t="s">
        <v>42</v>
      </c>
      <c r="D173" s="13" t="s">
        <v>351</v>
      </c>
      <c r="E173" s="13" t="s">
        <v>32</v>
      </c>
      <c r="F173" s="13" t="s">
        <v>354</v>
      </c>
      <c r="G173" s="8">
        <v>6</v>
      </c>
      <c r="H173" s="9">
        <f t="shared" si="9"/>
        <v>1.926684375</v>
      </c>
      <c r="I173" s="10">
        <v>2.5</v>
      </c>
      <c r="J173" s="8">
        <v>357</v>
      </c>
      <c r="K173" s="8">
        <v>1650</v>
      </c>
    </row>
    <row r="174" ht="21" customHeight="1" spans="1:12">
      <c r="A174" s="8">
        <v>8079</v>
      </c>
      <c r="B174" s="8" t="s">
        <v>355</v>
      </c>
      <c r="C174" s="8" t="s">
        <v>42</v>
      </c>
      <c r="D174" s="13" t="s">
        <v>351</v>
      </c>
      <c r="E174" s="13" t="s">
        <v>160</v>
      </c>
      <c r="F174" s="13" t="s">
        <v>356</v>
      </c>
      <c r="G174" s="8">
        <v>10</v>
      </c>
      <c r="H174" s="9">
        <f t="shared" si="9"/>
        <v>0.741825</v>
      </c>
      <c r="I174" s="10">
        <v>2.5</v>
      </c>
      <c r="J174" s="8">
        <v>300</v>
      </c>
      <c r="K174" s="8">
        <v>1260</v>
      </c>
    </row>
    <row r="175" ht="21" customHeight="1" spans="1:12">
      <c r="A175" s="8">
        <v>8079</v>
      </c>
      <c r="B175" s="8" t="s">
        <v>357</v>
      </c>
      <c r="C175" s="8" t="s">
        <v>42</v>
      </c>
      <c r="D175" s="13" t="s">
        <v>351</v>
      </c>
      <c r="E175" s="13" t="s">
        <v>160</v>
      </c>
      <c r="F175" s="13" t="s">
        <v>358</v>
      </c>
      <c r="G175" s="8">
        <v>56</v>
      </c>
      <c r="H175" s="9">
        <f t="shared" si="9"/>
        <v>0.120281625</v>
      </c>
      <c r="I175" s="10">
        <v>3</v>
      </c>
      <c r="J175" s="8">
        <v>227</v>
      </c>
      <c r="K175" s="8">
        <v>1260</v>
      </c>
    </row>
    <row r="176" ht="21" customHeight="1" spans="1:12">
      <c r="A176" s="8">
        <v>8080</v>
      </c>
      <c r="B176" s="8" t="s">
        <v>359</v>
      </c>
      <c r="C176" s="8" t="s">
        <v>42</v>
      </c>
      <c r="D176" s="8" t="s">
        <v>360</v>
      </c>
      <c r="E176" s="8" t="s">
        <v>14</v>
      </c>
      <c r="F176" s="13" t="s">
        <v>334</v>
      </c>
      <c r="G176" s="8">
        <v>2</v>
      </c>
      <c r="H176" s="9">
        <f t="shared" si="9"/>
        <v>4.3273125</v>
      </c>
      <c r="I176" s="10">
        <v>3.5</v>
      </c>
      <c r="J176" s="8">
        <v>500</v>
      </c>
      <c r="K176" s="8">
        <v>630</v>
      </c>
      <c r="L176" s="1"/>
    </row>
    <row r="177" ht="21" customHeight="1" spans="1:12">
      <c r="A177" s="8">
        <v>8080</v>
      </c>
      <c r="B177" s="8" t="s">
        <v>361</v>
      </c>
      <c r="C177" s="8" t="s">
        <v>42</v>
      </c>
      <c r="D177" s="8" t="s">
        <v>360</v>
      </c>
      <c r="E177" s="8" t="s">
        <v>32</v>
      </c>
      <c r="F177" s="13" t="s">
        <v>362</v>
      </c>
      <c r="G177" s="8">
        <v>10</v>
      </c>
      <c r="H177" s="9">
        <f t="shared" si="9"/>
        <v>0.39564</v>
      </c>
      <c r="I177" s="10">
        <v>2</v>
      </c>
      <c r="J177" s="8">
        <v>200</v>
      </c>
      <c r="K177" s="8">
        <v>1260</v>
      </c>
      <c r="L177" s="1"/>
    </row>
    <row r="178" ht="21" customHeight="1" spans="1:12">
      <c r="A178" s="8">
        <v>8081</v>
      </c>
      <c r="B178" s="8" t="s">
        <v>363</v>
      </c>
      <c r="C178" s="8" t="s">
        <v>42</v>
      </c>
      <c r="D178" s="13" t="s">
        <v>364</v>
      </c>
      <c r="E178" s="13" t="s">
        <v>14</v>
      </c>
      <c r="F178" s="13" t="s">
        <v>193</v>
      </c>
      <c r="G178" s="8">
        <v>2</v>
      </c>
      <c r="H178" s="9">
        <f t="shared" ref="H178:H196" si="10">J178*K178*7.84999999999999*I178/G178/1000000</f>
        <v>3.96770399999999</v>
      </c>
      <c r="I178" s="10">
        <v>4.5</v>
      </c>
      <c r="J178" s="8">
        <v>540</v>
      </c>
      <c r="K178" s="8">
        <v>416</v>
      </c>
    </row>
    <row r="179" ht="21" customHeight="1" spans="1:12">
      <c r="A179" s="8">
        <v>8085</v>
      </c>
      <c r="B179" s="8" t="s">
        <v>365</v>
      </c>
      <c r="C179" s="8" t="s">
        <v>42</v>
      </c>
      <c r="D179" s="13" t="s">
        <v>366</v>
      </c>
      <c r="E179" s="13" t="s">
        <v>14</v>
      </c>
      <c r="F179" s="13" t="s">
        <v>367</v>
      </c>
      <c r="G179" s="8">
        <v>6</v>
      </c>
      <c r="H179" s="9">
        <f t="shared" si="10"/>
        <v>1.996745625</v>
      </c>
      <c r="I179" s="10">
        <v>2.5</v>
      </c>
      <c r="J179" s="8">
        <v>357</v>
      </c>
      <c r="K179" s="8">
        <v>1710</v>
      </c>
    </row>
    <row r="180" ht="21" customHeight="1" spans="1:12">
      <c r="A180" s="8">
        <v>8085</v>
      </c>
      <c r="B180" s="8" t="s">
        <v>368</v>
      </c>
      <c r="C180" s="8" t="s">
        <v>42</v>
      </c>
      <c r="D180" s="13" t="s">
        <v>366</v>
      </c>
      <c r="E180" s="13" t="s">
        <v>32</v>
      </c>
      <c r="F180" s="13" t="s">
        <v>369</v>
      </c>
      <c r="G180" s="8">
        <v>6</v>
      </c>
      <c r="H180" s="9">
        <f t="shared" si="10"/>
        <v>1.84494625</v>
      </c>
      <c r="I180" s="10">
        <v>2.5</v>
      </c>
      <c r="J180" s="8">
        <v>357</v>
      </c>
      <c r="K180" s="8">
        <v>1580</v>
      </c>
    </row>
    <row r="181" ht="21" customHeight="1" spans="1:12">
      <c r="A181" s="8">
        <v>8086</v>
      </c>
      <c r="B181" s="8" t="s">
        <v>370</v>
      </c>
      <c r="C181" s="8" t="s">
        <v>42</v>
      </c>
      <c r="D181" s="13" t="s">
        <v>371</v>
      </c>
      <c r="E181" s="13" t="s">
        <v>14</v>
      </c>
      <c r="F181" s="13" t="s">
        <v>372</v>
      </c>
      <c r="G181" s="8">
        <v>6</v>
      </c>
      <c r="H181" s="9">
        <f t="shared" si="10"/>
        <v>1.75153125</v>
      </c>
      <c r="I181" s="10">
        <v>2.5</v>
      </c>
      <c r="J181" s="8">
        <v>357</v>
      </c>
      <c r="K181" s="8">
        <v>1500</v>
      </c>
      <c r="L181" s="1"/>
    </row>
    <row r="182" ht="21" customHeight="1" spans="1:12">
      <c r="A182" s="8">
        <v>8086</v>
      </c>
      <c r="B182" s="8" t="s">
        <v>373</v>
      </c>
      <c r="C182" s="8" t="s">
        <v>42</v>
      </c>
      <c r="D182" s="13" t="s">
        <v>371</v>
      </c>
      <c r="E182" s="13" t="s">
        <v>32</v>
      </c>
      <c r="F182" s="13" t="s">
        <v>374</v>
      </c>
      <c r="G182" s="8">
        <v>6</v>
      </c>
      <c r="H182" s="9">
        <f t="shared" si="10"/>
        <v>1.401225</v>
      </c>
      <c r="I182" s="10">
        <v>2</v>
      </c>
      <c r="J182" s="8">
        <v>357</v>
      </c>
      <c r="K182" s="8">
        <v>1500</v>
      </c>
      <c r="L182" s="1"/>
    </row>
    <row r="183" ht="21" customHeight="1" spans="1:12">
      <c r="A183" s="8">
        <v>8087</v>
      </c>
      <c r="B183" s="8" t="s">
        <v>375</v>
      </c>
      <c r="C183" s="8" t="s">
        <v>42</v>
      </c>
      <c r="D183" s="13" t="s">
        <v>376</v>
      </c>
      <c r="E183" s="13" t="s">
        <v>14</v>
      </c>
      <c r="F183" s="13" t="s">
        <v>377</v>
      </c>
      <c r="G183" s="8">
        <v>6</v>
      </c>
      <c r="H183" s="9">
        <f t="shared" si="10"/>
        <v>2.743104</v>
      </c>
      <c r="I183" s="10">
        <v>3.5</v>
      </c>
      <c r="J183" s="8">
        <v>416</v>
      </c>
      <c r="K183" s="8">
        <v>1440</v>
      </c>
    </row>
    <row r="184" ht="21" customHeight="1" spans="1:12">
      <c r="A184" s="8">
        <v>8088</v>
      </c>
      <c r="B184" s="8" t="s">
        <v>378</v>
      </c>
      <c r="C184" s="8" t="s">
        <v>42</v>
      </c>
      <c r="D184" s="13" t="s">
        <v>379</v>
      </c>
      <c r="E184" s="13" t="s">
        <v>14</v>
      </c>
      <c r="F184" s="13" t="s">
        <v>30</v>
      </c>
      <c r="G184" s="8">
        <v>5</v>
      </c>
      <c r="H184" s="9">
        <f t="shared" si="10"/>
        <v>2.8802592</v>
      </c>
      <c r="I184" s="10">
        <v>3.5</v>
      </c>
      <c r="J184" s="8">
        <v>416</v>
      </c>
      <c r="K184" s="8">
        <v>1260</v>
      </c>
    </row>
    <row r="185" ht="21" customHeight="1" spans="1:12">
      <c r="A185" s="8">
        <v>8088</v>
      </c>
      <c r="B185" s="8" t="s">
        <v>380</v>
      </c>
      <c r="C185" s="8" t="s">
        <v>42</v>
      </c>
      <c r="D185" s="13" t="s">
        <v>379</v>
      </c>
      <c r="E185" s="13" t="s">
        <v>32</v>
      </c>
      <c r="F185" s="13" t="s">
        <v>30</v>
      </c>
      <c r="G185" s="8">
        <v>9</v>
      </c>
      <c r="H185" s="9">
        <f t="shared" si="10"/>
        <v>1.600144</v>
      </c>
      <c r="I185" s="10">
        <v>3.5</v>
      </c>
      <c r="J185" s="8">
        <v>416</v>
      </c>
      <c r="K185" s="8">
        <v>1260</v>
      </c>
    </row>
    <row r="186" ht="21" customHeight="1" spans="1:12">
      <c r="A186" s="8">
        <v>8089</v>
      </c>
      <c r="B186" s="8" t="s">
        <v>381</v>
      </c>
      <c r="C186" s="8" t="s">
        <v>42</v>
      </c>
      <c r="D186" s="13" t="s">
        <v>382</v>
      </c>
      <c r="E186" s="13" t="s">
        <v>14</v>
      </c>
      <c r="F186" s="13" t="s">
        <v>383</v>
      </c>
      <c r="G186" s="8">
        <v>6</v>
      </c>
      <c r="H186" s="9">
        <f t="shared" si="10"/>
        <v>2.78664533333333</v>
      </c>
      <c r="I186" s="10">
        <v>4</v>
      </c>
      <c r="J186" s="8">
        <v>416</v>
      </c>
      <c r="K186" s="8">
        <v>1280</v>
      </c>
    </row>
    <row r="187" ht="21" customHeight="1" spans="1:12">
      <c r="A187" s="8">
        <v>8089</v>
      </c>
      <c r="B187" s="8" t="s">
        <v>384</v>
      </c>
      <c r="C187" s="13" t="s">
        <v>302</v>
      </c>
      <c r="D187" s="13" t="s">
        <v>382</v>
      </c>
      <c r="E187" s="13" t="s">
        <v>385</v>
      </c>
      <c r="F187" s="13" t="s">
        <v>238</v>
      </c>
      <c r="G187" s="8">
        <v>20</v>
      </c>
      <c r="H187" s="9">
        <f t="shared" si="10"/>
        <v>0.2640897</v>
      </c>
      <c r="I187" s="10">
        <v>3</v>
      </c>
      <c r="J187" s="8">
        <v>178</v>
      </c>
      <c r="K187" s="8">
        <v>1260</v>
      </c>
    </row>
    <row r="188" ht="21" customHeight="1" spans="1:12">
      <c r="A188" s="8">
        <v>8089</v>
      </c>
      <c r="B188" s="8" t="s">
        <v>386</v>
      </c>
      <c r="C188" s="13" t="s">
        <v>302</v>
      </c>
      <c r="D188" s="13" t="s">
        <v>382</v>
      </c>
      <c r="E188" s="13" t="s">
        <v>387</v>
      </c>
      <c r="F188" s="13" t="s">
        <v>238</v>
      </c>
      <c r="G188" s="8">
        <v>20</v>
      </c>
      <c r="H188" s="9">
        <f t="shared" si="10"/>
        <v>0.2640897</v>
      </c>
      <c r="I188" s="10">
        <v>3</v>
      </c>
      <c r="J188" s="8">
        <v>178</v>
      </c>
      <c r="K188" s="8">
        <v>1260</v>
      </c>
    </row>
    <row r="189" ht="21" customHeight="1" spans="1:12">
      <c r="A189" s="8">
        <v>8090</v>
      </c>
      <c r="B189" s="8" t="s">
        <v>388</v>
      </c>
      <c r="C189" s="8" t="s">
        <v>42</v>
      </c>
      <c r="D189" s="13" t="s">
        <v>389</v>
      </c>
      <c r="E189" s="13" t="s">
        <v>14</v>
      </c>
      <c r="F189" s="13" t="s">
        <v>33</v>
      </c>
      <c r="G189" s="8">
        <v>6</v>
      </c>
      <c r="H189" s="9">
        <f t="shared" si="10"/>
        <v>1.71444</v>
      </c>
      <c r="I189" s="10">
        <v>2.5</v>
      </c>
      <c r="J189" s="8">
        <v>416</v>
      </c>
      <c r="K189" s="8">
        <v>1260</v>
      </c>
    </row>
    <row r="190" ht="21" customHeight="1" spans="1:12">
      <c r="A190" s="8">
        <v>8090</v>
      </c>
      <c r="B190" s="8" t="s">
        <v>390</v>
      </c>
      <c r="C190" s="8" t="s">
        <v>42</v>
      </c>
      <c r="D190" s="13" t="s">
        <v>389</v>
      </c>
      <c r="E190" s="13" t="s">
        <v>32</v>
      </c>
      <c r="F190" s="13" t="s">
        <v>33</v>
      </c>
      <c r="G190" s="8">
        <v>6</v>
      </c>
      <c r="H190" s="9">
        <f t="shared" si="10"/>
        <v>1.71444</v>
      </c>
      <c r="I190" s="10">
        <v>2.5</v>
      </c>
      <c r="J190" s="8">
        <v>416</v>
      </c>
      <c r="K190" s="8">
        <v>1260</v>
      </c>
    </row>
    <row r="191" ht="21" customHeight="1" spans="1:12">
      <c r="A191" s="8">
        <v>8091</v>
      </c>
      <c r="B191" s="8" t="s">
        <v>391</v>
      </c>
      <c r="C191" s="8" t="s">
        <v>42</v>
      </c>
      <c r="D191" s="13" t="s">
        <v>392</v>
      </c>
      <c r="E191" s="13" t="s">
        <v>14</v>
      </c>
      <c r="F191" s="13" t="s">
        <v>33</v>
      </c>
      <c r="G191" s="8">
        <v>6</v>
      </c>
      <c r="H191" s="9">
        <f t="shared" si="10"/>
        <v>1.71444</v>
      </c>
      <c r="I191" s="10">
        <v>2.5</v>
      </c>
      <c r="J191" s="8">
        <v>416</v>
      </c>
      <c r="K191" s="8">
        <v>1260</v>
      </c>
    </row>
    <row r="192" ht="21" customHeight="1" spans="1:12">
      <c r="A192" s="8">
        <v>8091</v>
      </c>
      <c r="B192" s="8" t="s">
        <v>393</v>
      </c>
      <c r="C192" s="8" t="s">
        <v>42</v>
      </c>
      <c r="D192" s="13" t="s">
        <v>392</v>
      </c>
      <c r="E192" s="13" t="s">
        <v>32</v>
      </c>
      <c r="F192" s="13" t="s">
        <v>33</v>
      </c>
      <c r="G192" s="8">
        <v>6</v>
      </c>
      <c r="H192" s="9">
        <f t="shared" si="10"/>
        <v>1.71444</v>
      </c>
      <c r="I192" s="10">
        <v>2.5</v>
      </c>
      <c r="J192" s="8">
        <v>416</v>
      </c>
      <c r="K192" s="8">
        <v>1260</v>
      </c>
    </row>
    <row r="193" ht="21" customHeight="1" spans="1:11">
      <c r="A193" s="8">
        <v>8091</v>
      </c>
      <c r="B193" s="8" t="s">
        <v>394</v>
      </c>
      <c r="C193" s="8" t="s">
        <v>42</v>
      </c>
      <c r="D193" s="13" t="s">
        <v>392</v>
      </c>
      <c r="E193" s="13" t="s">
        <v>395</v>
      </c>
      <c r="F193" s="13" t="s">
        <v>396</v>
      </c>
      <c r="G193" s="8">
        <v>20</v>
      </c>
      <c r="H193" s="9">
        <f t="shared" si="10"/>
        <v>0.1295721</v>
      </c>
      <c r="I193" s="10">
        <v>2</v>
      </c>
      <c r="J193" s="8">
        <v>131</v>
      </c>
      <c r="K193" s="8">
        <v>1260</v>
      </c>
    </row>
    <row r="194" ht="21" customHeight="1" spans="1:11">
      <c r="A194" s="8">
        <v>8092</v>
      </c>
      <c r="B194" s="8" t="s">
        <v>397</v>
      </c>
      <c r="C194" s="8" t="s">
        <v>42</v>
      </c>
      <c r="D194" s="13" t="s">
        <v>398</v>
      </c>
      <c r="E194" s="13" t="s">
        <v>14</v>
      </c>
      <c r="F194" s="13" t="s">
        <v>399</v>
      </c>
      <c r="G194" s="8">
        <v>6</v>
      </c>
      <c r="H194" s="9">
        <f t="shared" si="10"/>
        <v>2.8574</v>
      </c>
      <c r="I194" s="10">
        <v>3.5</v>
      </c>
      <c r="J194" s="8">
        <v>416</v>
      </c>
      <c r="K194" s="8">
        <v>1500</v>
      </c>
    </row>
    <row r="195" ht="21" customHeight="1" spans="1:11">
      <c r="A195" s="8">
        <v>8093</v>
      </c>
      <c r="B195" s="8" t="s">
        <v>400</v>
      </c>
      <c r="C195" s="8" t="s">
        <v>42</v>
      </c>
      <c r="D195" s="13" t="s">
        <v>401</v>
      </c>
      <c r="E195" s="13" t="s">
        <v>14</v>
      </c>
      <c r="F195" s="13" t="s">
        <v>402</v>
      </c>
      <c r="G195" s="8">
        <v>6</v>
      </c>
      <c r="H195" s="9">
        <f t="shared" si="10"/>
        <v>1.76886666666666</v>
      </c>
      <c r="I195" s="10">
        <v>2.5</v>
      </c>
      <c r="J195" s="8">
        <v>416</v>
      </c>
      <c r="K195" s="8">
        <v>1300</v>
      </c>
    </row>
    <row r="196" ht="21" customHeight="1" spans="1:11">
      <c r="A196" s="8">
        <v>8093</v>
      </c>
      <c r="B196" s="8" t="s">
        <v>403</v>
      </c>
      <c r="C196" s="8" t="s">
        <v>42</v>
      </c>
      <c r="D196" s="13" t="s">
        <v>401</v>
      </c>
      <c r="E196" s="13" t="s">
        <v>32</v>
      </c>
      <c r="F196" s="13" t="s">
        <v>33</v>
      </c>
      <c r="G196" s="8">
        <v>6</v>
      </c>
      <c r="H196" s="9">
        <f t="shared" si="10"/>
        <v>1.71444</v>
      </c>
      <c r="I196" s="10">
        <v>2.5</v>
      </c>
      <c r="J196" s="8">
        <v>416</v>
      </c>
      <c r="K196" s="8">
        <v>1260</v>
      </c>
    </row>
    <row r="197" ht="21" customHeight="1" spans="1:11">
      <c r="A197" s="39">
        <v>8093</v>
      </c>
      <c r="B197" s="39" t="s">
        <v>404</v>
      </c>
      <c r="C197" s="39" t="s">
        <v>42</v>
      </c>
      <c r="D197" s="40" t="s">
        <v>401</v>
      </c>
      <c r="E197" s="40" t="s">
        <v>91</v>
      </c>
      <c r="F197" s="40"/>
      <c r="G197" s="39"/>
      <c r="H197" s="46"/>
      <c r="I197" s="41"/>
      <c r="J197" s="39"/>
      <c r="K197" s="39"/>
    </row>
    <row r="198" ht="21" customHeight="1" spans="1:11">
      <c r="A198" s="8">
        <v>8094</v>
      </c>
      <c r="B198" s="8" t="s">
        <v>405</v>
      </c>
      <c r="C198" s="8" t="s">
        <v>42</v>
      </c>
      <c r="D198" s="13" t="s">
        <v>406</v>
      </c>
      <c r="E198" s="13" t="s">
        <v>14</v>
      </c>
      <c r="F198" s="13" t="s">
        <v>122</v>
      </c>
      <c r="G198" s="8">
        <v>6</v>
      </c>
      <c r="H198" s="9">
        <f t="shared" ref="H198:H232" si="11">J198*K198*7.84999999999999*I198/G198/1000000</f>
        <v>1.47128625</v>
      </c>
      <c r="I198" s="10">
        <v>2.5</v>
      </c>
      <c r="J198" s="8">
        <v>357</v>
      </c>
      <c r="K198" s="8">
        <v>1260</v>
      </c>
    </row>
    <row r="199" ht="21" customHeight="1" spans="1:11">
      <c r="A199" s="8">
        <v>8094</v>
      </c>
      <c r="B199" s="8" t="s">
        <v>407</v>
      </c>
      <c r="C199" s="8" t="s">
        <v>42</v>
      </c>
      <c r="D199" s="13" t="s">
        <v>406</v>
      </c>
      <c r="E199" s="13" t="s">
        <v>32</v>
      </c>
      <c r="F199" s="13" t="s">
        <v>122</v>
      </c>
      <c r="G199" s="8">
        <v>6</v>
      </c>
      <c r="H199" s="9">
        <f t="shared" si="11"/>
        <v>1.47128625</v>
      </c>
      <c r="I199" s="10">
        <v>2.5</v>
      </c>
      <c r="J199" s="8">
        <v>357</v>
      </c>
      <c r="K199" s="8">
        <v>1260</v>
      </c>
    </row>
    <row r="200" ht="21" customHeight="1" spans="1:11">
      <c r="A200" s="8">
        <v>8095</v>
      </c>
      <c r="B200" s="8" t="s">
        <v>408</v>
      </c>
      <c r="C200" s="8" t="s">
        <v>42</v>
      </c>
      <c r="D200" s="13" t="s">
        <v>409</v>
      </c>
      <c r="E200" s="13" t="s">
        <v>14</v>
      </c>
      <c r="F200" s="13" t="s">
        <v>65</v>
      </c>
      <c r="G200" s="8">
        <v>5</v>
      </c>
      <c r="H200" s="9">
        <f t="shared" si="11"/>
        <v>2.1186522</v>
      </c>
      <c r="I200" s="10">
        <v>3</v>
      </c>
      <c r="J200" s="8">
        <v>357</v>
      </c>
      <c r="K200" s="8">
        <v>1260</v>
      </c>
    </row>
    <row r="201" ht="21" customHeight="1" spans="1:11">
      <c r="A201" s="8">
        <v>8095</v>
      </c>
      <c r="B201" s="8" t="s">
        <v>410</v>
      </c>
      <c r="C201" s="8" t="s">
        <v>42</v>
      </c>
      <c r="D201" s="13" t="s">
        <v>409</v>
      </c>
      <c r="E201" s="13" t="s">
        <v>32</v>
      </c>
      <c r="F201" s="13" t="s">
        <v>65</v>
      </c>
      <c r="G201" s="8">
        <v>5</v>
      </c>
      <c r="H201" s="9">
        <f t="shared" si="11"/>
        <v>2.1186522</v>
      </c>
      <c r="I201" s="10">
        <v>3</v>
      </c>
      <c r="J201" s="8">
        <v>357</v>
      </c>
      <c r="K201" s="8">
        <v>1260</v>
      </c>
    </row>
    <row r="202" ht="21" customHeight="1" spans="1:11">
      <c r="A202" s="8">
        <v>8095</v>
      </c>
      <c r="B202" s="8" t="s">
        <v>411</v>
      </c>
      <c r="C202" s="13" t="s">
        <v>302</v>
      </c>
      <c r="D202" s="13" t="s">
        <v>409</v>
      </c>
      <c r="E202" s="13" t="s">
        <v>303</v>
      </c>
      <c r="F202" s="13" t="s">
        <v>412</v>
      </c>
      <c r="G202" s="8">
        <v>19</v>
      </c>
      <c r="H202" s="9">
        <f t="shared" si="11"/>
        <v>0.247795578947368</v>
      </c>
      <c r="I202" s="10">
        <v>4</v>
      </c>
      <c r="J202" s="8">
        <v>119</v>
      </c>
      <c r="K202" s="8">
        <v>1260</v>
      </c>
    </row>
    <row r="203" ht="21" customHeight="1" spans="1:11">
      <c r="A203" s="8">
        <v>8096</v>
      </c>
      <c r="B203" s="8" t="s">
        <v>413</v>
      </c>
      <c r="C203" s="8" t="s">
        <v>42</v>
      </c>
      <c r="D203" s="13" t="s">
        <v>414</v>
      </c>
      <c r="E203" s="13" t="s">
        <v>14</v>
      </c>
      <c r="F203" s="13" t="s">
        <v>415</v>
      </c>
      <c r="G203" s="8">
        <v>6</v>
      </c>
      <c r="H203" s="9">
        <f t="shared" si="11"/>
        <v>2.743104</v>
      </c>
      <c r="I203" s="10">
        <v>4</v>
      </c>
      <c r="J203" s="8">
        <v>416</v>
      </c>
      <c r="K203" s="8">
        <v>1260</v>
      </c>
    </row>
    <row r="204" ht="21" customHeight="1" spans="1:11">
      <c r="A204" s="8">
        <v>8097</v>
      </c>
      <c r="B204" s="8" t="s">
        <v>416</v>
      </c>
      <c r="C204" s="8" t="s">
        <v>42</v>
      </c>
      <c r="D204" s="13" t="s">
        <v>417</v>
      </c>
      <c r="E204" s="13" t="s">
        <v>14</v>
      </c>
      <c r="F204" s="13" t="s">
        <v>418</v>
      </c>
      <c r="G204" s="8">
        <v>6</v>
      </c>
      <c r="H204" s="9">
        <f t="shared" si="11"/>
        <v>1.76886666666666</v>
      </c>
      <c r="I204" s="10">
        <v>2.5</v>
      </c>
      <c r="J204" s="8">
        <v>416</v>
      </c>
      <c r="K204" s="8">
        <v>1300</v>
      </c>
    </row>
    <row r="205" ht="21" customHeight="1" spans="1:11">
      <c r="A205" s="8">
        <v>8097</v>
      </c>
      <c r="B205" s="8" t="s">
        <v>419</v>
      </c>
      <c r="C205" s="8" t="s">
        <v>42</v>
      </c>
      <c r="D205" s="13" t="s">
        <v>417</v>
      </c>
      <c r="E205" s="13" t="s">
        <v>32</v>
      </c>
      <c r="F205" s="13" t="s">
        <v>37</v>
      </c>
      <c r="G205" s="8">
        <v>6</v>
      </c>
      <c r="H205" s="9">
        <f t="shared" si="11"/>
        <v>1.371552</v>
      </c>
      <c r="I205" s="10">
        <v>2</v>
      </c>
      <c r="J205" s="8">
        <v>416</v>
      </c>
      <c r="K205" s="8">
        <v>1260</v>
      </c>
    </row>
    <row r="206" ht="21" customHeight="1" spans="1:11">
      <c r="A206" s="8">
        <v>8097</v>
      </c>
      <c r="B206" s="8" t="s">
        <v>420</v>
      </c>
      <c r="C206" s="8" t="s">
        <v>42</v>
      </c>
      <c r="D206" s="13" t="s">
        <v>417</v>
      </c>
      <c r="E206" s="13" t="s">
        <v>421</v>
      </c>
      <c r="F206" s="13" t="s">
        <v>422</v>
      </c>
      <c r="G206" s="8">
        <v>50</v>
      </c>
      <c r="H206" s="9">
        <f t="shared" si="11"/>
        <v>0.1364958</v>
      </c>
      <c r="I206" s="10">
        <v>5</v>
      </c>
      <c r="J206" s="8">
        <v>138</v>
      </c>
      <c r="K206" s="8">
        <v>1260</v>
      </c>
    </row>
    <row r="207" ht="21" customHeight="1" spans="1:11">
      <c r="A207" s="8">
        <v>8099</v>
      </c>
      <c r="B207" s="8" t="s">
        <v>423</v>
      </c>
      <c r="C207" s="8" t="s">
        <v>42</v>
      </c>
      <c r="D207" s="13" t="s">
        <v>424</v>
      </c>
      <c r="E207" s="13" t="s">
        <v>14</v>
      </c>
      <c r="F207" s="13" t="s">
        <v>425</v>
      </c>
      <c r="G207" s="8">
        <v>4</v>
      </c>
      <c r="H207" s="9">
        <f t="shared" si="11"/>
        <v>3.085992</v>
      </c>
      <c r="I207" s="10">
        <v>3</v>
      </c>
      <c r="J207" s="8">
        <v>416</v>
      </c>
      <c r="K207" s="8">
        <v>1260</v>
      </c>
    </row>
    <row r="208" ht="21" customHeight="1" spans="1:11">
      <c r="A208" s="8">
        <v>8101</v>
      </c>
      <c r="B208" s="8" t="s">
        <v>426</v>
      </c>
      <c r="C208" s="8" t="s">
        <v>42</v>
      </c>
      <c r="D208" s="13" t="s">
        <v>427</v>
      </c>
      <c r="E208" s="13" t="s">
        <v>14</v>
      </c>
      <c r="F208" s="13" t="s">
        <v>33</v>
      </c>
      <c r="G208" s="8">
        <v>6</v>
      </c>
      <c r="H208" s="9">
        <f t="shared" si="11"/>
        <v>1.71444</v>
      </c>
      <c r="I208" s="10">
        <v>2.5</v>
      </c>
      <c r="J208" s="8">
        <v>416</v>
      </c>
      <c r="K208" s="8">
        <v>1260</v>
      </c>
    </row>
    <row r="209" ht="21" customHeight="1" spans="1:11">
      <c r="A209" s="8">
        <v>8101</v>
      </c>
      <c r="B209" s="8" t="s">
        <v>428</v>
      </c>
      <c r="C209" s="8" t="s">
        <v>42</v>
      </c>
      <c r="D209" s="13" t="s">
        <v>427</v>
      </c>
      <c r="E209" s="13" t="s">
        <v>32</v>
      </c>
      <c r="F209" s="13" t="s">
        <v>33</v>
      </c>
      <c r="G209" s="8">
        <v>6</v>
      </c>
      <c r="H209" s="9">
        <f t="shared" si="11"/>
        <v>1.71444</v>
      </c>
      <c r="I209" s="10">
        <v>2.5</v>
      </c>
      <c r="J209" s="8">
        <v>416</v>
      </c>
      <c r="K209" s="8">
        <v>1260</v>
      </c>
    </row>
    <row r="210" ht="21" customHeight="1" spans="1:11">
      <c r="A210" s="8">
        <v>8101</v>
      </c>
      <c r="B210" s="8" t="s">
        <v>429</v>
      </c>
      <c r="C210" s="8" t="s">
        <v>42</v>
      </c>
      <c r="D210" s="13" t="s">
        <v>427</v>
      </c>
      <c r="E210" s="13" t="s">
        <v>430</v>
      </c>
      <c r="F210" s="13" t="s">
        <v>309</v>
      </c>
      <c r="G210" s="8">
        <v>22</v>
      </c>
      <c r="H210" s="9">
        <f t="shared" si="11"/>
        <v>0.306171409090909</v>
      </c>
      <c r="I210" s="10">
        <v>3</v>
      </c>
      <c r="J210" s="8">
        <v>227</v>
      </c>
      <c r="K210" s="8">
        <v>1260</v>
      </c>
    </row>
    <row r="211" ht="21" customHeight="1" spans="1:11">
      <c r="A211" s="8">
        <v>8102</v>
      </c>
      <c r="B211" s="8" t="s">
        <v>431</v>
      </c>
      <c r="C211" s="8" t="s">
        <v>42</v>
      </c>
      <c r="D211" s="13" t="s">
        <v>432</v>
      </c>
      <c r="E211" s="13" t="s">
        <v>14</v>
      </c>
      <c r="F211" s="13" t="s">
        <v>433</v>
      </c>
      <c r="G211" s="8">
        <v>4</v>
      </c>
      <c r="H211" s="9">
        <f t="shared" si="11"/>
        <v>3.14314</v>
      </c>
      <c r="I211" s="10">
        <v>3.5</v>
      </c>
      <c r="J211" s="8">
        <v>416</v>
      </c>
      <c r="K211" s="8">
        <v>1100</v>
      </c>
    </row>
    <row r="212" ht="21" customHeight="1" spans="1:11">
      <c r="A212" s="8">
        <v>8103</v>
      </c>
      <c r="B212" s="8" t="s">
        <v>434</v>
      </c>
      <c r="C212" s="8" t="s">
        <v>42</v>
      </c>
      <c r="D212" s="13" t="s">
        <v>435</v>
      </c>
      <c r="E212" s="13" t="s">
        <v>14</v>
      </c>
      <c r="F212" s="13" t="s">
        <v>436</v>
      </c>
      <c r="G212" s="8">
        <v>4</v>
      </c>
      <c r="H212" s="9">
        <f t="shared" si="11"/>
        <v>3.531087</v>
      </c>
      <c r="I212" s="10">
        <v>4</v>
      </c>
      <c r="J212" s="8">
        <v>357</v>
      </c>
      <c r="K212" s="8">
        <v>1260</v>
      </c>
    </row>
    <row r="213" ht="21" customHeight="1" spans="1:11">
      <c r="A213" s="8">
        <v>8104</v>
      </c>
      <c r="B213" s="8" t="s">
        <v>437</v>
      </c>
      <c r="C213" s="8" t="s">
        <v>42</v>
      </c>
      <c r="D213" s="13" t="s">
        <v>438</v>
      </c>
      <c r="E213" s="13" t="s">
        <v>14</v>
      </c>
      <c r="F213" s="13" t="s">
        <v>439</v>
      </c>
      <c r="G213" s="8">
        <v>6</v>
      </c>
      <c r="H213" s="9">
        <f t="shared" si="11"/>
        <v>2.28592</v>
      </c>
      <c r="I213" s="10">
        <v>3</v>
      </c>
      <c r="J213" s="8">
        <v>416</v>
      </c>
      <c r="K213" s="8">
        <v>1400</v>
      </c>
    </row>
    <row r="214" ht="21" customHeight="1" spans="1:11">
      <c r="A214" s="8">
        <v>8104</v>
      </c>
      <c r="B214" s="8" t="s">
        <v>440</v>
      </c>
      <c r="C214" s="8" t="s">
        <v>42</v>
      </c>
      <c r="D214" s="13" t="s">
        <v>438</v>
      </c>
      <c r="E214" s="13" t="s">
        <v>32</v>
      </c>
      <c r="F214" s="13" t="s">
        <v>439</v>
      </c>
      <c r="G214" s="8">
        <v>6</v>
      </c>
      <c r="H214" s="9">
        <f t="shared" si="11"/>
        <v>2.28592</v>
      </c>
      <c r="I214" s="10">
        <v>3</v>
      </c>
      <c r="J214" s="8">
        <v>416</v>
      </c>
      <c r="K214" s="8">
        <v>1400</v>
      </c>
    </row>
    <row r="215" ht="21" customHeight="1" spans="1:11">
      <c r="A215" s="8">
        <v>8104</v>
      </c>
      <c r="B215" s="8" t="s">
        <v>441</v>
      </c>
      <c r="C215" s="8" t="s">
        <v>42</v>
      </c>
      <c r="D215" s="13" t="s">
        <v>438</v>
      </c>
      <c r="E215" s="13" t="s">
        <v>430</v>
      </c>
      <c r="F215" s="13" t="s">
        <v>309</v>
      </c>
      <c r="G215" s="8">
        <v>22</v>
      </c>
      <c r="H215" s="9">
        <f t="shared" si="11"/>
        <v>0.306171409090909</v>
      </c>
      <c r="I215" s="10">
        <v>3</v>
      </c>
      <c r="J215" s="8">
        <v>227</v>
      </c>
      <c r="K215" s="8">
        <v>1260</v>
      </c>
    </row>
    <row r="216" ht="21" customHeight="1" spans="1:11">
      <c r="A216" s="8">
        <v>8105</v>
      </c>
      <c r="B216" s="8" t="s">
        <v>442</v>
      </c>
      <c r="C216" s="8" t="s">
        <v>42</v>
      </c>
      <c r="D216" s="13" t="s">
        <v>443</v>
      </c>
      <c r="E216" s="13" t="s">
        <v>14</v>
      </c>
      <c r="F216" s="13" t="s">
        <v>444</v>
      </c>
      <c r="G216" s="8">
        <v>2</v>
      </c>
      <c r="H216" s="9">
        <f t="shared" si="11"/>
        <v>3.59216</v>
      </c>
      <c r="I216" s="10">
        <v>4</v>
      </c>
      <c r="J216" s="8">
        <v>416</v>
      </c>
      <c r="K216" s="8">
        <v>550</v>
      </c>
    </row>
    <row r="217" ht="21" customHeight="1" spans="1:11">
      <c r="A217" s="8">
        <v>8107</v>
      </c>
      <c r="B217" s="8" t="s">
        <v>445</v>
      </c>
      <c r="C217" s="8" t="s">
        <v>42</v>
      </c>
      <c r="D217" s="13" t="s">
        <v>446</v>
      </c>
      <c r="E217" s="13" t="s">
        <v>14</v>
      </c>
      <c r="F217" s="13" t="s">
        <v>447</v>
      </c>
      <c r="G217" s="8">
        <v>6</v>
      </c>
      <c r="H217" s="9">
        <f t="shared" si="11"/>
        <v>1.829835</v>
      </c>
      <c r="I217" s="10">
        <v>3</v>
      </c>
      <c r="J217" s="8">
        <v>370</v>
      </c>
      <c r="K217" s="8">
        <v>1260</v>
      </c>
    </row>
    <row r="218" ht="21" customHeight="1" spans="1:11">
      <c r="A218" s="8">
        <v>8107</v>
      </c>
      <c r="B218" s="8" t="s">
        <v>448</v>
      </c>
      <c r="C218" s="8" t="s">
        <v>42</v>
      </c>
      <c r="D218" s="13" t="s">
        <v>446</v>
      </c>
      <c r="E218" s="13" t="s">
        <v>32</v>
      </c>
      <c r="F218" s="13" t="s">
        <v>447</v>
      </c>
      <c r="G218" s="8">
        <v>6</v>
      </c>
      <c r="H218" s="9">
        <f t="shared" si="11"/>
        <v>1.829835</v>
      </c>
      <c r="I218" s="10">
        <v>3</v>
      </c>
      <c r="J218" s="8">
        <v>370</v>
      </c>
      <c r="K218" s="8">
        <v>1260</v>
      </c>
    </row>
    <row r="219" ht="21" customHeight="1" spans="1:11">
      <c r="A219" s="8">
        <v>8107</v>
      </c>
      <c r="B219" s="8" t="s">
        <v>449</v>
      </c>
      <c r="C219" s="13" t="s">
        <v>302</v>
      </c>
      <c r="D219" s="13" t="s">
        <v>446</v>
      </c>
      <c r="E219" s="13" t="s">
        <v>303</v>
      </c>
      <c r="F219" s="13" t="s">
        <v>450</v>
      </c>
      <c r="G219" s="8">
        <v>12</v>
      </c>
      <c r="H219" s="9">
        <f t="shared" si="11"/>
        <v>0.749243249999999</v>
      </c>
      <c r="I219" s="10">
        <v>3</v>
      </c>
      <c r="J219" s="8">
        <v>303</v>
      </c>
      <c r="K219" s="8">
        <v>1260</v>
      </c>
    </row>
    <row r="220" ht="21" customHeight="1" spans="1:11">
      <c r="A220" s="8">
        <v>8108</v>
      </c>
      <c r="B220" s="8" t="s">
        <v>451</v>
      </c>
      <c r="C220" s="8" t="s">
        <v>42</v>
      </c>
      <c r="D220" s="13" t="s">
        <v>452</v>
      </c>
      <c r="E220" s="13" t="s">
        <v>14</v>
      </c>
      <c r="F220" s="13" t="s">
        <v>453</v>
      </c>
      <c r="G220" s="8">
        <v>2</v>
      </c>
      <c r="H220" s="9">
        <f t="shared" si="11"/>
        <v>3.461536</v>
      </c>
      <c r="I220" s="10">
        <v>4</v>
      </c>
      <c r="J220" s="8">
        <v>416</v>
      </c>
      <c r="K220" s="8">
        <v>530</v>
      </c>
    </row>
    <row r="221" ht="21" customHeight="1" spans="1:11">
      <c r="A221" s="8">
        <v>8109</v>
      </c>
      <c r="B221" s="8" t="s">
        <v>454</v>
      </c>
      <c r="C221" s="8" t="s">
        <v>42</v>
      </c>
      <c r="D221" s="13" t="s">
        <v>455</v>
      </c>
      <c r="E221" s="13" t="s">
        <v>14</v>
      </c>
      <c r="F221" s="13" t="s">
        <v>456</v>
      </c>
      <c r="G221" s="8">
        <v>4</v>
      </c>
      <c r="H221" s="9">
        <f t="shared" si="11"/>
        <v>3.28601</v>
      </c>
      <c r="I221" s="10">
        <v>3.5</v>
      </c>
      <c r="J221" s="8">
        <v>416</v>
      </c>
      <c r="K221" s="8">
        <v>1150</v>
      </c>
    </row>
    <row r="222" ht="21" customHeight="1" spans="1:11">
      <c r="A222" s="8">
        <v>8110</v>
      </c>
      <c r="B222" s="8" t="s">
        <v>457</v>
      </c>
      <c r="C222" s="8" t="s">
        <v>42</v>
      </c>
      <c r="D222" s="13" t="s">
        <v>458</v>
      </c>
      <c r="E222" s="13" t="s">
        <v>14</v>
      </c>
      <c r="F222" s="13" t="s">
        <v>65</v>
      </c>
      <c r="G222" s="8">
        <v>5</v>
      </c>
      <c r="H222" s="9">
        <f t="shared" si="11"/>
        <v>2.1186522</v>
      </c>
      <c r="I222" s="10">
        <v>3</v>
      </c>
      <c r="J222" s="8">
        <v>357</v>
      </c>
      <c r="K222" s="8">
        <v>1260</v>
      </c>
    </row>
    <row r="223" ht="21" customHeight="1" spans="1:11">
      <c r="A223" s="8">
        <v>8110</v>
      </c>
      <c r="B223" s="8" t="s">
        <v>459</v>
      </c>
      <c r="C223" s="8" t="s">
        <v>42</v>
      </c>
      <c r="D223" s="13" t="s">
        <v>458</v>
      </c>
      <c r="E223" s="13" t="s">
        <v>32</v>
      </c>
      <c r="F223" s="13" t="s">
        <v>65</v>
      </c>
      <c r="G223" s="8">
        <v>5</v>
      </c>
      <c r="H223" s="9">
        <f t="shared" si="11"/>
        <v>2.1186522</v>
      </c>
      <c r="I223" s="10">
        <v>3</v>
      </c>
      <c r="J223" s="8">
        <v>357</v>
      </c>
      <c r="K223" s="8">
        <v>1260</v>
      </c>
    </row>
    <row r="224" ht="21" customHeight="1" spans="1:11">
      <c r="A224" s="8">
        <v>8110</v>
      </c>
      <c r="B224" s="8" t="s">
        <v>460</v>
      </c>
      <c r="C224" s="8" t="s">
        <v>42</v>
      </c>
      <c r="D224" s="13" t="s">
        <v>458</v>
      </c>
      <c r="E224" s="13" t="s">
        <v>160</v>
      </c>
      <c r="F224" s="13" t="s">
        <v>362</v>
      </c>
      <c r="G224" s="8">
        <v>16</v>
      </c>
      <c r="H224" s="9">
        <f t="shared" si="11"/>
        <v>0.247275</v>
      </c>
      <c r="I224" s="10">
        <v>2</v>
      </c>
      <c r="J224" s="8">
        <v>200</v>
      </c>
      <c r="K224" s="8">
        <v>1260</v>
      </c>
    </row>
    <row r="225" ht="21" customHeight="1" spans="1:11">
      <c r="A225" s="8">
        <v>8111</v>
      </c>
      <c r="B225" s="8" t="s">
        <v>461</v>
      </c>
      <c r="C225" s="8" t="s">
        <v>42</v>
      </c>
      <c r="D225" s="13" t="s">
        <v>462</v>
      </c>
      <c r="E225" s="13" t="s">
        <v>14</v>
      </c>
      <c r="F225" s="13" t="s">
        <v>463</v>
      </c>
      <c r="G225" s="8">
        <v>6</v>
      </c>
      <c r="H225" s="9">
        <f t="shared" si="11"/>
        <v>2.171624</v>
      </c>
      <c r="I225" s="10">
        <v>3</v>
      </c>
      <c r="J225" s="8">
        <v>416</v>
      </c>
      <c r="K225" s="8">
        <v>1330</v>
      </c>
    </row>
    <row r="226" ht="21" customHeight="1" spans="1:11">
      <c r="A226" s="8">
        <v>8111</v>
      </c>
      <c r="B226" s="8" t="s">
        <v>464</v>
      </c>
      <c r="C226" s="8" t="s">
        <v>42</v>
      </c>
      <c r="D226" s="13" t="s">
        <v>462</v>
      </c>
      <c r="E226" s="13" t="s">
        <v>32</v>
      </c>
      <c r="F226" s="13" t="s">
        <v>425</v>
      </c>
      <c r="G226" s="8">
        <v>6</v>
      </c>
      <c r="H226" s="9">
        <f t="shared" si="11"/>
        <v>2.057328</v>
      </c>
      <c r="I226" s="10">
        <v>3</v>
      </c>
      <c r="J226" s="8">
        <v>416</v>
      </c>
      <c r="K226" s="8">
        <v>1260</v>
      </c>
    </row>
    <row r="227" ht="21" customHeight="1" spans="1:11">
      <c r="A227" s="8">
        <v>8111</v>
      </c>
      <c r="B227" s="8" t="s">
        <v>465</v>
      </c>
      <c r="C227" s="13" t="s">
        <v>302</v>
      </c>
      <c r="D227" s="13" t="s">
        <v>462</v>
      </c>
      <c r="E227" s="13" t="s">
        <v>466</v>
      </c>
      <c r="F227" s="13" t="s">
        <v>238</v>
      </c>
      <c r="G227" s="8">
        <v>10</v>
      </c>
      <c r="H227" s="9">
        <f t="shared" si="11"/>
        <v>0.528179399999999</v>
      </c>
      <c r="I227" s="10">
        <v>3</v>
      </c>
      <c r="J227" s="8">
        <v>178</v>
      </c>
      <c r="K227" s="8">
        <v>1260</v>
      </c>
    </row>
    <row r="228" ht="21" customHeight="1" spans="1:11">
      <c r="A228" s="8">
        <v>8111</v>
      </c>
      <c r="B228" s="8" t="s">
        <v>467</v>
      </c>
      <c r="C228" s="13" t="s">
        <v>302</v>
      </c>
      <c r="D228" s="13" t="s">
        <v>462</v>
      </c>
      <c r="E228" s="13" t="s">
        <v>468</v>
      </c>
      <c r="F228" s="13" t="s">
        <v>238</v>
      </c>
      <c r="G228" s="8">
        <v>10</v>
      </c>
      <c r="H228" s="9">
        <f t="shared" si="11"/>
        <v>0.528179399999999</v>
      </c>
      <c r="I228" s="10">
        <v>3</v>
      </c>
      <c r="J228" s="8">
        <v>178</v>
      </c>
      <c r="K228" s="8">
        <v>1260</v>
      </c>
    </row>
    <row r="229" ht="21" customHeight="1" spans="1:11">
      <c r="A229" s="39">
        <v>8111</v>
      </c>
      <c r="B229" s="39" t="s">
        <v>469</v>
      </c>
      <c r="C229" s="40" t="s">
        <v>470</v>
      </c>
      <c r="D229" s="40" t="s">
        <v>462</v>
      </c>
      <c r="E229" s="40" t="s">
        <v>14</v>
      </c>
      <c r="F229" s="40" t="s">
        <v>65</v>
      </c>
      <c r="G229" s="39">
        <v>12</v>
      </c>
      <c r="H229" s="51">
        <f t="shared" si="11"/>
        <v>0.875765624999999</v>
      </c>
      <c r="I229" s="41">
        <v>3</v>
      </c>
      <c r="J229" s="39">
        <v>357</v>
      </c>
      <c r="K229" s="39">
        <v>1250</v>
      </c>
    </row>
    <row r="230" ht="21" customHeight="1" spans="1:11">
      <c r="A230" s="8">
        <v>8113</v>
      </c>
      <c r="B230" s="8" t="s">
        <v>471</v>
      </c>
      <c r="C230" s="8" t="s">
        <v>42</v>
      </c>
      <c r="D230" s="13" t="s">
        <v>472</v>
      </c>
      <c r="E230" s="13" t="s">
        <v>14</v>
      </c>
      <c r="F230" s="13" t="s">
        <v>65</v>
      </c>
      <c r="G230" s="8">
        <v>6</v>
      </c>
      <c r="H230" s="9">
        <f t="shared" si="11"/>
        <v>1.7655435</v>
      </c>
      <c r="I230" s="10">
        <v>3</v>
      </c>
      <c r="J230" s="8">
        <v>357</v>
      </c>
      <c r="K230" s="8">
        <v>1260</v>
      </c>
    </row>
    <row r="231" ht="21" customHeight="1" spans="1:11">
      <c r="A231" s="8">
        <v>8113</v>
      </c>
      <c r="B231" s="8" t="s">
        <v>473</v>
      </c>
      <c r="C231" s="8" t="s">
        <v>42</v>
      </c>
      <c r="D231" s="13" t="s">
        <v>472</v>
      </c>
      <c r="E231" s="13" t="s">
        <v>32</v>
      </c>
      <c r="F231" s="13" t="s">
        <v>65</v>
      </c>
      <c r="G231" s="8">
        <v>6</v>
      </c>
      <c r="H231" s="9">
        <f t="shared" ref="H231:H249" si="12">J231*K231*7.84999999999999*I231/G231/1000000</f>
        <v>1.7655435</v>
      </c>
      <c r="I231" s="10">
        <v>3</v>
      </c>
      <c r="J231" s="8">
        <v>357</v>
      </c>
      <c r="K231" s="8">
        <v>1260</v>
      </c>
    </row>
    <row r="232" ht="21" customHeight="1" spans="1:11">
      <c r="A232" s="8">
        <v>8113</v>
      </c>
      <c r="B232" s="8" t="s">
        <v>474</v>
      </c>
      <c r="C232" s="13" t="s">
        <v>302</v>
      </c>
      <c r="D232" s="13" t="s">
        <v>472</v>
      </c>
      <c r="E232" s="13" t="s">
        <v>303</v>
      </c>
      <c r="F232" s="13" t="s">
        <v>83</v>
      </c>
      <c r="G232" s="8">
        <v>9</v>
      </c>
      <c r="H232" s="9">
        <f t="shared" si="12"/>
        <v>1.3732005</v>
      </c>
      <c r="I232" s="10">
        <v>3.5</v>
      </c>
      <c r="J232" s="8">
        <v>357</v>
      </c>
      <c r="K232" s="8">
        <v>1260</v>
      </c>
    </row>
    <row r="233" ht="21" customHeight="1" spans="1:11">
      <c r="A233" s="8">
        <v>8114</v>
      </c>
      <c r="B233" s="8" t="s">
        <v>475</v>
      </c>
      <c r="C233" s="8" t="s">
        <v>42</v>
      </c>
      <c r="D233" s="13" t="s">
        <v>476</v>
      </c>
      <c r="E233" s="13" t="s">
        <v>14</v>
      </c>
      <c r="F233" s="13" t="s">
        <v>415</v>
      </c>
      <c r="G233" s="8">
        <v>4</v>
      </c>
      <c r="H233" s="9">
        <f t="shared" si="12"/>
        <v>4.11465599999999</v>
      </c>
      <c r="I233" s="10">
        <v>4</v>
      </c>
      <c r="J233" s="8">
        <v>416</v>
      </c>
      <c r="K233" s="8">
        <v>1260</v>
      </c>
    </row>
    <row r="234" ht="21" customHeight="1" spans="1:11">
      <c r="A234" s="8">
        <v>8115</v>
      </c>
      <c r="B234" s="8" t="s">
        <v>477</v>
      </c>
      <c r="C234" s="8" t="s">
        <v>42</v>
      </c>
      <c r="D234" s="13" t="s">
        <v>478</v>
      </c>
      <c r="E234" s="13" t="s">
        <v>14</v>
      </c>
      <c r="F234" s="13" t="s">
        <v>30</v>
      </c>
      <c r="G234" s="8">
        <v>4</v>
      </c>
      <c r="H234" s="9">
        <f t="shared" si="12"/>
        <v>3.60032399999999</v>
      </c>
      <c r="I234" s="10">
        <v>3.5</v>
      </c>
      <c r="J234" s="8">
        <v>416</v>
      </c>
      <c r="K234" s="8">
        <v>1260</v>
      </c>
    </row>
    <row r="235" ht="21" customHeight="1" spans="1:11">
      <c r="A235" s="8">
        <v>8115</v>
      </c>
      <c r="B235" s="8" t="s">
        <v>479</v>
      </c>
      <c r="C235" s="8" t="s">
        <v>42</v>
      </c>
      <c r="D235" s="13" t="s">
        <v>478</v>
      </c>
      <c r="E235" s="13" t="s">
        <v>32</v>
      </c>
      <c r="F235" s="13" t="s">
        <v>106</v>
      </c>
      <c r="G235" s="8">
        <v>18</v>
      </c>
      <c r="H235" s="9">
        <f t="shared" si="12"/>
        <v>0.27475</v>
      </c>
      <c r="I235" s="10">
        <v>2</v>
      </c>
      <c r="J235" s="8">
        <v>250</v>
      </c>
      <c r="K235" s="8">
        <v>1260</v>
      </c>
    </row>
    <row r="236" ht="21" customHeight="1" spans="1:11">
      <c r="A236" s="8">
        <v>8116</v>
      </c>
      <c r="B236" s="8" t="s">
        <v>480</v>
      </c>
      <c r="C236" s="13" t="s">
        <v>302</v>
      </c>
      <c r="D236" s="13" t="s">
        <v>481</v>
      </c>
      <c r="E236" s="13" t="s">
        <v>303</v>
      </c>
      <c r="F236" s="13" t="s">
        <v>425</v>
      </c>
      <c r="G236" s="8">
        <v>9</v>
      </c>
      <c r="H236" s="9">
        <f t="shared" si="12"/>
        <v>1.36066666666667</v>
      </c>
      <c r="I236" s="10">
        <v>3</v>
      </c>
      <c r="J236" s="8">
        <v>416</v>
      </c>
      <c r="K236" s="8">
        <v>1250</v>
      </c>
    </row>
    <row r="237" ht="21" customHeight="1" spans="1:11">
      <c r="A237" s="8">
        <v>8117</v>
      </c>
      <c r="B237" s="8" t="s">
        <v>482</v>
      </c>
      <c r="C237" s="13" t="s">
        <v>302</v>
      </c>
      <c r="D237" s="13" t="s">
        <v>483</v>
      </c>
      <c r="E237" s="13" t="s">
        <v>303</v>
      </c>
      <c r="F237" s="13" t="s">
        <v>415</v>
      </c>
      <c r="G237" s="8">
        <v>7</v>
      </c>
      <c r="H237" s="9">
        <f t="shared" si="12"/>
        <v>2.351232</v>
      </c>
      <c r="I237" s="10">
        <v>4</v>
      </c>
      <c r="J237" s="8">
        <v>416</v>
      </c>
      <c r="K237" s="8">
        <v>1260</v>
      </c>
    </row>
    <row r="238" ht="21" customHeight="1" spans="1:11">
      <c r="A238" s="8">
        <v>8118</v>
      </c>
      <c r="B238" s="8" t="s">
        <v>484</v>
      </c>
      <c r="C238" s="8" t="s">
        <v>42</v>
      </c>
      <c r="D238" s="13" t="s">
        <v>485</v>
      </c>
      <c r="E238" s="13" t="s">
        <v>14</v>
      </c>
      <c r="F238" s="13" t="s">
        <v>486</v>
      </c>
      <c r="G238" s="8">
        <v>2</v>
      </c>
      <c r="H238" s="9">
        <f t="shared" si="12"/>
        <v>3.60032399999999</v>
      </c>
      <c r="I238" s="10">
        <v>3.5</v>
      </c>
      <c r="J238" s="8">
        <v>416</v>
      </c>
      <c r="K238" s="8">
        <v>630</v>
      </c>
    </row>
    <row r="239" ht="21" customHeight="1" spans="1:11">
      <c r="A239" s="8">
        <v>8119</v>
      </c>
      <c r="B239" s="8" t="s">
        <v>487</v>
      </c>
      <c r="C239" s="8" t="s">
        <v>42</v>
      </c>
      <c r="D239" s="13" t="s">
        <v>488</v>
      </c>
      <c r="E239" s="13" t="s">
        <v>14</v>
      </c>
      <c r="F239" s="13" t="s">
        <v>489</v>
      </c>
      <c r="G239" s="8">
        <v>2</v>
      </c>
      <c r="H239" s="9">
        <f t="shared" si="12"/>
        <v>2.72296875</v>
      </c>
      <c r="I239" s="10">
        <v>2.5</v>
      </c>
      <c r="J239" s="8">
        <v>500</v>
      </c>
      <c r="K239" s="8">
        <v>555</v>
      </c>
    </row>
    <row r="240" ht="21" customHeight="1" spans="1:11">
      <c r="A240" s="8">
        <v>8119</v>
      </c>
      <c r="B240" s="8" t="s">
        <v>490</v>
      </c>
      <c r="C240" s="8" t="s">
        <v>42</v>
      </c>
      <c r="D240" s="13" t="s">
        <v>488</v>
      </c>
      <c r="E240" s="13" t="s">
        <v>32</v>
      </c>
      <c r="F240" s="13" t="s">
        <v>491</v>
      </c>
      <c r="G240" s="8">
        <v>2</v>
      </c>
      <c r="H240" s="9">
        <f t="shared" si="12"/>
        <v>2.099875</v>
      </c>
      <c r="I240" s="10">
        <v>2</v>
      </c>
      <c r="J240" s="8">
        <v>500</v>
      </c>
      <c r="K240" s="8">
        <v>535</v>
      </c>
    </row>
    <row r="241" ht="21" customHeight="1" spans="1:259">
      <c r="A241" s="8">
        <v>8119</v>
      </c>
      <c r="B241" s="8" t="s">
        <v>492</v>
      </c>
      <c r="C241" s="8" t="s">
        <v>42</v>
      </c>
      <c r="D241" s="13" t="s">
        <v>488</v>
      </c>
      <c r="E241" s="13" t="s">
        <v>160</v>
      </c>
      <c r="F241" s="13" t="s">
        <v>493</v>
      </c>
      <c r="G241" s="8">
        <v>18</v>
      </c>
      <c r="H241" s="9">
        <f t="shared" si="12"/>
        <v>0.324205</v>
      </c>
      <c r="I241" s="10">
        <v>2</v>
      </c>
      <c r="J241" s="8">
        <v>295</v>
      </c>
      <c r="K241" s="8">
        <v>1260</v>
      </c>
    </row>
    <row r="242" ht="21" customHeight="1" spans="1:259">
      <c r="A242" s="8">
        <v>8119</v>
      </c>
      <c r="B242" s="8" t="s">
        <v>494</v>
      </c>
      <c r="C242" s="8" t="s">
        <v>42</v>
      </c>
      <c r="D242" s="13" t="s">
        <v>488</v>
      </c>
      <c r="E242" s="13" t="s">
        <v>91</v>
      </c>
      <c r="F242" s="13" t="s">
        <v>495</v>
      </c>
      <c r="G242" s="8">
        <v>23</v>
      </c>
      <c r="H242" s="9">
        <f t="shared" si="12"/>
        <v>0.214161652173913</v>
      </c>
      <c r="I242" s="10">
        <v>3</v>
      </c>
      <c r="J242" s="8">
        <v>166</v>
      </c>
      <c r="K242" s="8">
        <v>1260</v>
      </c>
    </row>
    <row r="243" s="35" customFormat="1" ht="21" customHeight="1" spans="1:259">
      <c r="A243" s="8">
        <v>8121</v>
      </c>
      <c r="B243" s="8" t="s">
        <v>496</v>
      </c>
      <c r="C243" s="8" t="s">
        <v>42</v>
      </c>
      <c r="D243" s="13" t="s">
        <v>497</v>
      </c>
      <c r="E243" s="13" t="s">
        <v>14</v>
      </c>
      <c r="F243" s="13" t="s">
        <v>88</v>
      </c>
      <c r="G243" s="8">
        <v>6</v>
      </c>
      <c r="H243" s="9">
        <f t="shared" si="12"/>
        <v>2.041</v>
      </c>
      <c r="I243" s="10">
        <v>2.5</v>
      </c>
      <c r="J243" s="8">
        <v>416</v>
      </c>
      <c r="K243" s="8">
        <v>1500</v>
      </c>
      <c r="L243" s="1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</row>
    <row r="244" s="35" customFormat="1" ht="21" customHeight="1" spans="1:259">
      <c r="A244" s="8">
        <v>8121</v>
      </c>
      <c r="B244" s="8" t="s">
        <v>498</v>
      </c>
      <c r="C244" s="8" t="s">
        <v>42</v>
      </c>
      <c r="D244" s="13" t="s">
        <v>497</v>
      </c>
      <c r="E244" s="13" t="s">
        <v>32</v>
      </c>
      <c r="F244" s="13" t="s">
        <v>30</v>
      </c>
      <c r="G244" s="8">
        <v>7</v>
      </c>
      <c r="H244" s="9">
        <f t="shared" si="12"/>
        <v>2.057328</v>
      </c>
      <c r="I244" s="10">
        <v>3.5</v>
      </c>
      <c r="J244" s="8">
        <v>416</v>
      </c>
      <c r="K244" s="8">
        <v>1260</v>
      </c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</row>
    <row r="245" s="35" customFormat="1" ht="21" customHeight="1" spans="1:259">
      <c r="A245" s="8">
        <v>8121</v>
      </c>
      <c r="B245" s="8" t="s">
        <v>499</v>
      </c>
      <c r="C245" s="8" t="s">
        <v>42</v>
      </c>
      <c r="D245" s="13" t="s">
        <v>497</v>
      </c>
      <c r="E245" s="13" t="s">
        <v>160</v>
      </c>
      <c r="F245" s="13" t="s">
        <v>324</v>
      </c>
      <c r="G245" s="8">
        <v>18</v>
      </c>
      <c r="H245" s="9">
        <f t="shared" si="12"/>
        <v>0.195622</v>
      </c>
      <c r="I245" s="10">
        <v>2</v>
      </c>
      <c r="J245" s="8">
        <v>178</v>
      </c>
      <c r="K245" s="8">
        <v>1260</v>
      </c>
      <c r="L245" s="13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</row>
    <row r="246" ht="21" customHeight="1" spans="1:259">
      <c r="A246" s="8">
        <v>8122</v>
      </c>
      <c r="B246" s="8" t="s">
        <v>500</v>
      </c>
      <c r="C246" s="8" t="s">
        <v>102</v>
      </c>
      <c r="D246" s="13" t="s">
        <v>501</v>
      </c>
      <c r="E246" s="13" t="s">
        <v>14</v>
      </c>
      <c r="F246" s="13" t="s">
        <v>307</v>
      </c>
      <c r="G246" s="8">
        <v>6</v>
      </c>
      <c r="H246" s="9">
        <f t="shared" si="12"/>
        <v>1.542996</v>
      </c>
      <c r="I246" s="10">
        <v>3</v>
      </c>
      <c r="J246" s="8">
        <v>312</v>
      </c>
      <c r="K246" s="8">
        <v>1260</v>
      </c>
    </row>
    <row r="247" ht="21" customHeight="1" spans="1:259">
      <c r="A247" s="8">
        <v>8123</v>
      </c>
      <c r="B247" s="8" t="s">
        <v>502</v>
      </c>
      <c r="C247" s="8" t="s">
        <v>42</v>
      </c>
      <c r="D247" s="13" t="s">
        <v>503</v>
      </c>
      <c r="E247" s="13" t="s">
        <v>14</v>
      </c>
      <c r="F247" s="13" t="s">
        <v>504</v>
      </c>
      <c r="G247" s="8">
        <v>2</v>
      </c>
      <c r="H247" s="9">
        <f t="shared" si="12"/>
        <v>5.56368749999999</v>
      </c>
      <c r="I247" s="10">
        <v>4.5</v>
      </c>
      <c r="J247" s="8">
        <v>500</v>
      </c>
      <c r="K247" s="8">
        <v>630</v>
      </c>
    </row>
    <row r="248" ht="21" customHeight="1" spans="1:259">
      <c r="A248" s="8">
        <v>8124</v>
      </c>
      <c r="B248" s="8" t="s">
        <v>505</v>
      </c>
      <c r="C248" s="8" t="s">
        <v>42</v>
      </c>
      <c r="D248" s="8">
        <v>25000</v>
      </c>
      <c r="E248" s="13" t="s">
        <v>14</v>
      </c>
      <c r="F248" s="13" t="s">
        <v>33</v>
      </c>
      <c r="G248" s="8">
        <v>5</v>
      </c>
      <c r="H248" s="9">
        <f t="shared" si="12"/>
        <v>2.057328</v>
      </c>
      <c r="I248" s="10">
        <v>2.5</v>
      </c>
      <c r="J248" s="8">
        <v>416</v>
      </c>
      <c r="K248" s="8">
        <v>1260</v>
      </c>
    </row>
    <row r="249" ht="21" customHeight="1" spans="1:259">
      <c r="A249" s="8">
        <v>8124</v>
      </c>
      <c r="B249" s="8" t="s">
        <v>506</v>
      </c>
      <c r="C249" s="8" t="s">
        <v>42</v>
      </c>
      <c r="D249" s="8">
        <v>25000</v>
      </c>
      <c r="E249" s="13" t="s">
        <v>32</v>
      </c>
      <c r="F249" s="13" t="s">
        <v>33</v>
      </c>
      <c r="G249" s="8">
        <v>6</v>
      </c>
      <c r="H249" s="9">
        <f t="shared" si="12"/>
        <v>1.71444</v>
      </c>
      <c r="I249" s="10">
        <v>2.5</v>
      </c>
      <c r="J249" s="8">
        <v>416</v>
      </c>
      <c r="K249" s="8">
        <v>1260</v>
      </c>
    </row>
    <row r="250" ht="21" customHeight="1" spans="1:259">
      <c r="A250" s="39">
        <v>8124</v>
      </c>
      <c r="B250" s="39" t="s">
        <v>507</v>
      </c>
      <c r="C250" s="39" t="s">
        <v>42</v>
      </c>
      <c r="D250" s="39">
        <v>25000</v>
      </c>
      <c r="E250" s="40" t="s">
        <v>91</v>
      </c>
      <c r="F250" s="40"/>
      <c r="G250" s="39"/>
      <c r="H250" s="46"/>
      <c r="I250" s="41"/>
      <c r="J250" s="39"/>
      <c r="K250" s="39"/>
    </row>
    <row r="251" ht="21" customHeight="1" spans="1:259">
      <c r="A251" s="8">
        <v>8125</v>
      </c>
      <c r="B251" s="8" t="s">
        <v>508</v>
      </c>
      <c r="C251" s="8" t="s">
        <v>42</v>
      </c>
      <c r="D251" s="13" t="s">
        <v>509</v>
      </c>
      <c r="E251" s="13" t="s">
        <v>14</v>
      </c>
      <c r="F251" s="13" t="s">
        <v>30</v>
      </c>
      <c r="G251" s="8">
        <v>4</v>
      </c>
      <c r="H251" s="9">
        <f t="shared" ref="H251:H268" si="13">J251*K251*7.84999999999999*I251/G251/1000000</f>
        <v>3.60032399999999</v>
      </c>
      <c r="I251" s="10">
        <v>3.5</v>
      </c>
      <c r="J251" s="8">
        <v>416</v>
      </c>
      <c r="K251" s="8">
        <v>1260</v>
      </c>
    </row>
    <row r="252" ht="21" customHeight="1" spans="1:259">
      <c r="A252" s="8">
        <v>8126</v>
      </c>
      <c r="B252" s="8" t="s">
        <v>510</v>
      </c>
      <c r="C252" s="8" t="s">
        <v>42</v>
      </c>
      <c r="D252" s="13" t="s">
        <v>511</v>
      </c>
      <c r="E252" s="13" t="s">
        <v>14</v>
      </c>
      <c r="F252" s="13" t="s">
        <v>30</v>
      </c>
      <c r="G252" s="8">
        <v>4</v>
      </c>
      <c r="H252" s="9">
        <f t="shared" si="13"/>
        <v>3.60032399999999</v>
      </c>
      <c r="I252" s="10">
        <v>3.5</v>
      </c>
      <c r="J252" s="8">
        <v>416</v>
      </c>
      <c r="K252" s="8">
        <v>1260</v>
      </c>
    </row>
    <row r="253" ht="21" customHeight="1" spans="1:259">
      <c r="A253" s="8">
        <v>8130</v>
      </c>
      <c r="B253" s="8" t="s">
        <v>512</v>
      </c>
      <c r="C253" s="8" t="s">
        <v>42</v>
      </c>
      <c r="D253" s="13" t="s">
        <v>513</v>
      </c>
      <c r="E253" s="13" t="s">
        <v>14</v>
      </c>
      <c r="F253" s="13" t="s">
        <v>196</v>
      </c>
      <c r="G253" s="8">
        <v>2</v>
      </c>
      <c r="H253" s="9">
        <f t="shared" si="13"/>
        <v>4.62898799999999</v>
      </c>
      <c r="I253" s="10">
        <v>4.5</v>
      </c>
      <c r="J253" s="8">
        <v>416</v>
      </c>
      <c r="K253" s="8">
        <v>630</v>
      </c>
    </row>
    <row r="254" ht="21" customHeight="1" spans="1:259">
      <c r="A254" s="52" t="s">
        <v>514</v>
      </c>
      <c r="B254" s="52" t="s">
        <v>512</v>
      </c>
      <c r="C254" s="52" t="s">
        <v>42</v>
      </c>
      <c r="D254" s="53" t="s">
        <v>513</v>
      </c>
      <c r="E254" s="53" t="s">
        <v>14</v>
      </c>
      <c r="F254" s="53" t="s">
        <v>504</v>
      </c>
      <c r="G254" s="52">
        <v>2</v>
      </c>
      <c r="H254" s="44">
        <f t="shared" si="13"/>
        <v>5.56368749999999</v>
      </c>
      <c r="I254" s="45">
        <v>4.5</v>
      </c>
      <c r="J254" s="42">
        <v>500</v>
      </c>
      <c r="K254" s="42">
        <v>630</v>
      </c>
      <c r="L254" s="54"/>
    </row>
    <row r="255" ht="21" customHeight="1" spans="1:259">
      <c r="A255" s="8">
        <v>8132</v>
      </c>
      <c r="B255" s="8" t="s">
        <v>515</v>
      </c>
      <c r="C255" s="8" t="s">
        <v>42</v>
      </c>
      <c r="D255" s="13" t="s">
        <v>516</v>
      </c>
      <c r="E255" s="13" t="s">
        <v>14</v>
      </c>
      <c r="F255" s="13" t="s">
        <v>110</v>
      </c>
      <c r="G255" s="8">
        <v>4</v>
      </c>
      <c r="H255" s="9">
        <f t="shared" si="13"/>
        <v>1.928745</v>
      </c>
      <c r="I255" s="10">
        <v>2.5</v>
      </c>
      <c r="J255" s="8">
        <v>312</v>
      </c>
      <c r="K255" s="8">
        <v>1260</v>
      </c>
    </row>
    <row r="256" ht="21" customHeight="1" spans="1:259">
      <c r="A256" s="8">
        <v>8132</v>
      </c>
      <c r="B256" s="8" t="s">
        <v>517</v>
      </c>
      <c r="C256" s="8" t="s">
        <v>42</v>
      </c>
      <c r="D256" s="13" t="s">
        <v>516</v>
      </c>
      <c r="E256" s="13" t="s">
        <v>32</v>
      </c>
      <c r="F256" s="13" t="s">
        <v>110</v>
      </c>
      <c r="G256" s="8">
        <v>4</v>
      </c>
      <c r="H256" s="9">
        <f t="shared" si="13"/>
        <v>1.542996</v>
      </c>
      <c r="I256" s="10">
        <v>2</v>
      </c>
      <c r="J256" s="8">
        <v>312</v>
      </c>
      <c r="K256" s="8">
        <v>1260</v>
      </c>
    </row>
    <row r="257" ht="21" customHeight="1" spans="1:11">
      <c r="A257" s="8">
        <v>8131</v>
      </c>
      <c r="B257" s="8" t="s">
        <v>518</v>
      </c>
      <c r="C257" s="8" t="s">
        <v>42</v>
      </c>
      <c r="D257" s="13" t="s">
        <v>519</v>
      </c>
      <c r="E257" s="13" t="s">
        <v>14</v>
      </c>
      <c r="F257" s="13" t="s">
        <v>30</v>
      </c>
      <c r="G257" s="8">
        <v>4</v>
      </c>
      <c r="H257" s="9">
        <f t="shared" si="13"/>
        <v>3.60032399999999</v>
      </c>
      <c r="I257" s="10">
        <v>3.5</v>
      </c>
      <c r="J257" s="8">
        <v>416</v>
      </c>
      <c r="K257" s="8">
        <v>1260</v>
      </c>
    </row>
    <row r="258" ht="21" customHeight="1" spans="1:11">
      <c r="A258" s="8">
        <v>8134</v>
      </c>
      <c r="B258" s="8" t="s">
        <v>520</v>
      </c>
      <c r="C258" s="8" t="s">
        <v>42</v>
      </c>
      <c r="D258" s="13" t="s">
        <v>521</v>
      </c>
      <c r="E258" s="13" t="s">
        <v>14</v>
      </c>
      <c r="F258" s="13" t="s">
        <v>83</v>
      </c>
      <c r="G258" s="8">
        <v>4</v>
      </c>
      <c r="H258" s="9">
        <f t="shared" si="13"/>
        <v>3.089701125</v>
      </c>
      <c r="I258" s="10">
        <v>3.5</v>
      </c>
      <c r="J258" s="8">
        <v>357</v>
      </c>
      <c r="K258" s="8">
        <v>1260</v>
      </c>
    </row>
    <row r="259" ht="21" customHeight="1" spans="1:11">
      <c r="A259" s="8">
        <v>8134</v>
      </c>
      <c r="B259" s="8" t="s">
        <v>522</v>
      </c>
      <c r="C259" s="8" t="s">
        <v>42</v>
      </c>
      <c r="D259" s="13" t="s">
        <v>521</v>
      </c>
      <c r="E259" s="13" t="s">
        <v>32</v>
      </c>
      <c r="F259" s="13" t="s">
        <v>122</v>
      </c>
      <c r="G259" s="8">
        <v>7</v>
      </c>
      <c r="H259" s="9">
        <f t="shared" si="13"/>
        <v>1.2611025</v>
      </c>
      <c r="I259" s="10">
        <v>2.5</v>
      </c>
      <c r="J259" s="8">
        <v>357</v>
      </c>
      <c r="K259" s="8">
        <v>1260</v>
      </c>
    </row>
    <row r="260" ht="21" customHeight="1" spans="1:11">
      <c r="A260" s="8">
        <v>8136</v>
      </c>
      <c r="B260" s="8" t="s">
        <v>523</v>
      </c>
      <c r="C260" s="8" t="s">
        <v>42</v>
      </c>
      <c r="D260" s="13" t="s">
        <v>524</v>
      </c>
      <c r="E260" s="13" t="s">
        <v>14</v>
      </c>
      <c r="F260" s="13" t="s">
        <v>525</v>
      </c>
      <c r="G260" s="8">
        <v>8</v>
      </c>
      <c r="H260" s="9">
        <f t="shared" si="13"/>
        <v>2.4492</v>
      </c>
      <c r="I260" s="10">
        <v>4</v>
      </c>
      <c r="J260" s="8">
        <v>416</v>
      </c>
      <c r="K260" s="8">
        <v>1500</v>
      </c>
    </row>
    <row r="261" ht="21" customHeight="1" spans="1:11">
      <c r="A261" s="8">
        <v>8136</v>
      </c>
      <c r="B261" s="8" t="s">
        <v>526</v>
      </c>
      <c r="C261" s="13" t="s">
        <v>302</v>
      </c>
      <c r="D261" s="13" t="s">
        <v>524</v>
      </c>
      <c r="E261" s="13" t="s">
        <v>303</v>
      </c>
      <c r="F261" s="13" t="s">
        <v>83</v>
      </c>
      <c r="G261" s="8">
        <v>9</v>
      </c>
      <c r="H261" s="9">
        <f t="shared" si="13"/>
        <v>1.3732005</v>
      </c>
      <c r="I261" s="10">
        <v>3.5</v>
      </c>
      <c r="J261" s="8">
        <v>357</v>
      </c>
      <c r="K261" s="8">
        <v>1260</v>
      </c>
    </row>
    <row r="262" ht="21" customHeight="1" spans="1:11">
      <c r="A262" s="8">
        <v>8137</v>
      </c>
      <c r="B262" s="8" t="s">
        <v>527</v>
      </c>
      <c r="C262" s="8" t="s">
        <v>42</v>
      </c>
      <c r="D262" s="13" t="s">
        <v>528</v>
      </c>
      <c r="E262" s="13" t="s">
        <v>14</v>
      </c>
      <c r="F262" s="13" t="s">
        <v>529</v>
      </c>
      <c r="G262" s="8">
        <v>6</v>
      </c>
      <c r="H262" s="9">
        <f t="shared" si="13"/>
        <v>2.45214375</v>
      </c>
      <c r="I262" s="10">
        <v>3.5</v>
      </c>
      <c r="J262" s="8">
        <v>357</v>
      </c>
      <c r="K262" s="8">
        <v>1500</v>
      </c>
    </row>
    <row r="263" ht="21" customHeight="1" spans="1:11">
      <c r="A263" s="8">
        <v>8137</v>
      </c>
      <c r="B263" s="8" t="s">
        <v>530</v>
      </c>
      <c r="C263" s="8" t="s">
        <v>42</v>
      </c>
      <c r="D263" s="13" t="s">
        <v>528</v>
      </c>
      <c r="E263" s="13" t="s">
        <v>32</v>
      </c>
      <c r="F263" s="13" t="s">
        <v>83</v>
      </c>
      <c r="G263" s="8">
        <v>6</v>
      </c>
      <c r="H263" s="9">
        <f t="shared" si="13"/>
        <v>2.05980075</v>
      </c>
      <c r="I263" s="10">
        <v>3.5</v>
      </c>
      <c r="J263" s="8">
        <v>357</v>
      </c>
      <c r="K263" s="8">
        <v>1260</v>
      </c>
    </row>
    <row r="264" ht="21" customHeight="1" spans="1:11">
      <c r="A264" s="8">
        <v>8137</v>
      </c>
      <c r="B264" s="8" t="s">
        <v>531</v>
      </c>
      <c r="C264" s="8" t="s">
        <v>42</v>
      </c>
      <c r="D264" s="13" t="s">
        <v>528</v>
      </c>
      <c r="E264" s="13" t="s">
        <v>160</v>
      </c>
      <c r="F264" s="13" t="s">
        <v>144</v>
      </c>
      <c r="G264" s="8">
        <v>20</v>
      </c>
      <c r="H264" s="9">
        <f t="shared" si="13"/>
        <v>0.2739807</v>
      </c>
      <c r="I264" s="10">
        <v>2</v>
      </c>
      <c r="J264" s="8">
        <v>277</v>
      </c>
      <c r="K264" s="8">
        <v>1260</v>
      </c>
    </row>
    <row r="265" ht="21" customHeight="1" spans="1:11">
      <c r="A265" s="8">
        <v>8137</v>
      </c>
      <c r="B265" s="8" t="s">
        <v>532</v>
      </c>
      <c r="C265" s="8" t="s">
        <v>42</v>
      </c>
      <c r="D265" s="13" t="s">
        <v>528</v>
      </c>
      <c r="E265" s="13" t="s">
        <v>160</v>
      </c>
      <c r="F265" s="13" t="s">
        <v>144</v>
      </c>
      <c r="G265" s="8">
        <v>20</v>
      </c>
      <c r="H265" s="9">
        <f t="shared" si="13"/>
        <v>0.2739807</v>
      </c>
      <c r="I265" s="10">
        <v>2</v>
      </c>
      <c r="J265" s="8">
        <v>277</v>
      </c>
      <c r="K265" s="8">
        <v>1260</v>
      </c>
    </row>
    <row r="266" ht="21" customHeight="1" spans="1:11">
      <c r="A266" s="8">
        <v>8138</v>
      </c>
      <c r="B266" s="8" t="s">
        <v>533</v>
      </c>
      <c r="C266" s="8" t="s">
        <v>42</v>
      </c>
      <c r="D266" s="13" t="s">
        <v>534</v>
      </c>
      <c r="E266" s="13" t="s">
        <v>14</v>
      </c>
      <c r="F266" s="13" t="s">
        <v>529</v>
      </c>
      <c r="G266" s="8">
        <v>6</v>
      </c>
      <c r="H266" s="9">
        <f t="shared" si="13"/>
        <v>2.45214375</v>
      </c>
      <c r="I266" s="10">
        <v>3.5</v>
      </c>
      <c r="J266" s="8">
        <v>357</v>
      </c>
      <c r="K266" s="8">
        <v>1500</v>
      </c>
    </row>
    <row r="267" ht="21" customHeight="1" spans="1:11">
      <c r="A267" s="8">
        <v>8138</v>
      </c>
      <c r="B267" s="8" t="s">
        <v>535</v>
      </c>
      <c r="C267" s="8" t="s">
        <v>42</v>
      </c>
      <c r="D267" s="13" t="s">
        <v>534</v>
      </c>
      <c r="E267" s="13" t="s">
        <v>32</v>
      </c>
      <c r="F267" s="13" t="s">
        <v>536</v>
      </c>
      <c r="G267" s="8">
        <v>9</v>
      </c>
      <c r="H267" s="9">
        <f t="shared" si="13"/>
        <v>1.6485</v>
      </c>
      <c r="I267" s="10">
        <v>3</v>
      </c>
      <c r="J267" s="8">
        <v>500</v>
      </c>
      <c r="K267" s="8">
        <v>1260</v>
      </c>
    </row>
    <row r="268" ht="21" customHeight="1" spans="1:11">
      <c r="A268" s="8">
        <v>8138</v>
      </c>
      <c r="B268" s="8" t="s">
        <v>537</v>
      </c>
      <c r="C268" s="8" t="s">
        <v>42</v>
      </c>
      <c r="D268" s="13" t="s">
        <v>534</v>
      </c>
      <c r="E268" s="13" t="s">
        <v>538</v>
      </c>
      <c r="F268" s="13" t="s">
        <v>72</v>
      </c>
      <c r="G268" s="8">
        <v>20</v>
      </c>
      <c r="H268" s="9">
        <f t="shared" si="13"/>
        <v>0.385748999999999</v>
      </c>
      <c r="I268" s="10">
        <v>2.5</v>
      </c>
      <c r="J268" s="8">
        <v>312</v>
      </c>
      <c r="K268" s="8">
        <v>1260</v>
      </c>
    </row>
    <row r="269" ht="21" customHeight="1" spans="1:11">
      <c r="A269" s="39">
        <v>8138</v>
      </c>
      <c r="B269" s="39" t="s">
        <v>539</v>
      </c>
      <c r="C269" s="39" t="s">
        <v>42</v>
      </c>
      <c r="D269" s="40" t="s">
        <v>534</v>
      </c>
      <c r="E269" s="40" t="s">
        <v>540</v>
      </c>
      <c r="F269" s="40"/>
      <c r="G269" s="39"/>
      <c r="H269" s="46"/>
      <c r="I269" s="41"/>
      <c r="J269" s="39"/>
      <c r="K269" s="39"/>
    </row>
    <row r="270" ht="21" customHeight="1" spans="1:11">
      <c r="A270" s="8">
        <v>8138</v>
      </c>
      <c r="B270" s="8" t="s">
        <v>541</v>
      </c>
      <c r="C270" s="8" t="s">
        <v>42</v>
      </c>
      <c r="D270" s="13" t="s">
        <v>534</v>
      </c>
      <c r="E270" s="13" t="s">
        <v>75</v>
      </c>
      <c r="F270" s="13" t="s">
        <v>312</v>
      </c>
      <c r="G270" s="8">
        <v>14</v>
      </c>
      <c r="H270" s="9">
        <f t="shared" ref="H270:H319" si="14">J270*K270*7.85*I270/G270/1000000</f>
        <v>0.360315</v>
      </c>
      <c r="I270" s="10">
        <v>3</v>
      </c>
      <c r="J270" s="8">
        <v>170</v>
      </c>
      <c r="K270" s="8">
        <v>1260</v>
      </c>
    </row>
    <row r="271" ht="21" customHeight="1" spans="1:11">
      <c r="A271" s="8">
        <v>8138</v>
      </c>
      <c r="B271" s="8" t="s">
        <v>542</v>
      </c>
      <c r="C271" s="8" t="s">
        <v>42</v>
      </c>
      <c r="D271" s="13" t="s">
        <v>534</v>
      </c>
      <c r="E271" s="13" t="s">
        <v>75</v>
      </c>
      <c r="F271" s="13" t="s">
        <v>312</v>
      </c>
      <c r="G271" s="8">
        <v>24</v>
      </c>
      <c r="H271" s="37">
        <f t="shared" si="14"/>
        <v>0.21018375</v>
      </c>
      <c r="I271" s="10">
        <v>3</v>
      </c>
      <c r="J271" s="8">
        <v>170</v>
      </c>
      <c r="K271" s="8">
        <v>1260</v>
      </c>
    </row>
    <row r="272" ht="21" customHeight="1" spans="1:11">
      <c r="A272" s="8">
        <v>8138</v>
      </c>
      <c r="B272" s="8" t="s">
        <v>543</v>
      </c>
      <c r="C272" s="8" t="s">
        <v>42</v>
      </c>
      <c r="D272" s="13" t="s">
        <v>534</v>
      </c>
      <c r="E272" s="13" t="s">
        <v>75</v>
      </c>
      <c r="F272" s="13" t="s">
        <v>238</v>
      </c>
      <c r="G272" s="8">
        <v>13</v>
      </c>
      <c r="H272" s="9">
        <f t="shared" si="14"/>
        <v>0.406291846153846</v>
      </c>
      <c r="I272" s="10">
        <v>3</v>
      </c>
      <c r="J272" s="8">
        <v>178</v>
      </c>
      <c r="K272" s="8">
        <v>1260</v>
      </c>
    </row>
    <row r="273" ht="21" customHeight="1" spans="1:260">
      <c r="A273" s="8">
        <v>8138</v>
      </c>
      <c r="B273" s="8" t="s">
        <v>544</v>
      </c>
      <c r="C273" s="8" t="s">
        <v>42</v>
      </c>
      <c r="D273" s="13" t="s">
        <v>534</v>
      </c>
      <c r="E273" s="13" t="s">
        <v>75</v>
      </c>
      <c r="F273" s="13" t="s">
        <v>545</v>
      </c>
      <c r="G273" s="8">
        <v>18</v>
      </c>
      <c r="H273" s="9">
        <f t="shared" si="14"/>
        <v>0.3297</v>
      </c>
      <c r="I273" s="10">
        <v>3</v>
      </c>
      <c r="J273" s="8">
        <v>200</v>
      </c>
      <c r="K273" s="8">
        <v>1260</v>
      </c>
    </row>
    <row r="274" ht="21" customHeight="1" spans="1:260">
      <c r="A274" s="8">
        <v>8141</v>
      </c>
      <c r="B274" s="8" t="s">
        <v>546</v>
      </c>
      <c r="C274" s="8" t="s">
        <v>42</v>
      </c>
      <c r="D274" s="13" t="s">
        <v>547</v>
      </c>
      <c r="E274" s="13" t="s">
        <v>14</v>
      </c>
      <c r="F274" s="13" t="s">
        <v>415</v>
      </c>
      <c r="G274" s="8">
        <v>4</v>
      </c>
      <c r="H274" s="9">
        <f t="shared" si="14"/>
        <v>4.114656</v>
      </c>
      <c r="I274" s="10">
        <v>4</v>
      </c>
      <c r="J274" s="8">
        <v>416</v>
      </c>
      <c r="K274" s="8">
        <v>1260</v>
      </c>
    </row>
    <row r="275" ht="21" customHeight="1" spans="1:260">
      <c r="A275" s="8">
        <v>8142</v>
      </c>
      <c r="B275" s="8" t="s">
        <v>548</v>
      </c>
      <c r="C275" s="8" t="s">
        <v>42</v>
      </c>
      <c r="D275" s="13" t="s">
        <v>549</v>
      </c>
      <c r="E275" s="13" t="s">
        <v>14</v>
      </c>
      <c r="F275" s="13" t="s">
        <v>62</v>
      </c>
      <c r="G275" s="8">
        <v>6</v>
      </c>
      <c r="H275" s="9">
        <f t="shared" si="14"/>
        <v>2.579824</v>
      </c>
      <c r="I275" s="10">
        <v>3</v>
      </c>
      <c r="J275" s="8">
        <v>416</v>
      </c>
      <c r="K275" s="8">
        <v>1580</v>
      </c>
    </row>
    <row r="276" ht="21" customHeight="1" spans="1:260">
      <c r="A276" s="8">
        <v>8142</v>
      </c>
      <c r="B276" s="8" t="s">
        <v>550</v>
      </c>
      <c r="C276" s="8" t="s">
        <v>42</v>
      </c>
      <c r="D276" s="13" t="s">
        <v>549</v>
      </c>
      <c r="E276" s="13" t="s">
        <v>32</v>
      </c>
      <c r="F276" s="13" t="s">
        <v>62</v>
      </c>
      <c r="G276" s="8">
        <v>7</v>
      </c>
      <c r="H276" s="9">
        <f t="shared" si="14"/>
        <v>2.21127771428571</v>
      </c>
      <c r="I276" s="10">
        <v>3</v>
      </c>
      <c r="J276" s="8">
        <v>416</v>
      </c>
      <c r="K276" s="8">
        <v>1580</v>
      </c>
    </row>
    <row r="277" ht="21" customHeight="1" spans="1:260">
      <c r="A277" s="8">
        <v>8144</v>
      </c>
      <c r="B277" s="8" t="s">
        <v>551</v>
      </c>
      <c r="C277" s="8" t="s">
        <v>42</v>
      </c>
      <c r="D277" s="13" t="s">
        <v>552</v>
      </c>
      <c r="E277" s="13" t="s">
        <v>14</v>
      </c>
      <c r="F277" s="13" t="s">
        <v>553</v>
      </c>
      <c r="G277" s="8">
        <v>4</v>
      </c>
      <c r="H277" s="9">
        <f t="shared" si="14"/>
        <v>4.628988</v>
      </c>
      <c r="I277" s="10">
        <v>4.5</v>
      </c>
      <c r="J277" s="8">
        <v>416</v>
      </c>
      <c r="K277" s="8">
        <v>1260</v>
      </c>
    </row>
    <row r="278" ht="21" customHeight="1" spans="1:260">
      <c r="A278" s="8">
        <v>8145</v>
      </c>
      <c r="B278" s="8" t="s">
        <v>554</v>
      </c>
      <c r="C278" s="8" t="s">
        <v>42</v>
      </c>
      <c r="D278" s="13" t="s">
        <v>555</v>
      </c>
      <c r="E278" s="13" t="s">
        <v>14</v>
      </c>
      <c r="F278" s="13" t="s">
        <v>556</v>
      </c>
      <c r="G278" s="8">
        <v>6</v>
      </c>
      <c r="H278" s="9">
        <f t="shared" si="14"/>
        <v>2.10903333333333</v>
      </c>
      <c r="I278" s="10">
        <v>2.5</v>
      </c>
      <c r="J278" s="8">
        <v>416</v>
      </c>
      <c r="K278" s="8">
        <v>1550</v>
      </c>
    </row>
    <row r="279" ht="21" customHeight="1" spans="1:260">
      <c r="A279" s="8">
        <v>8145</v>
      </c>
      <c r="B279" s="8" t="s">
        <v>557</v>
      </c>
      <c r="C279" s="8" t="s">
        <v>42</v>
      </c>
      <c r="D279" s="13" t="s">
        <v>555</v>
      </c>
      <c r="E279" s="13" t="s">
        <v>32</v>
      </c>
      <c r="F279" s="13" t="s">
        <v>556</v>
      </c>
      <c r="G279" s="8">
        <v>6</v>
      </c>
      <c r="H279" s="9">
        <f t="shared" si="14"/>
        <v>2.10903333333333</v>
      </c>
      <c r="I279" s="10">
        <v>2.5</v>
      </c>
      <c r="J279" s="8">
        <v>416</v>
      </c>
      <c r="K279" s="8">
        <v>1550</v>
      </c>
    </row>
    <row r="280" ht="21" customHeight="1" spans="1:260">
      <c r="A280" s="42" t="s">
        <v>558</v>
      </c>
      <c r="B280" s="42" t="s">
        <v>554</v>
      </c>
      <c r="C280" s="42" t="s">
        <v>42</v>
      </c>
      <c r="D280" s="43" t="s">
        <v>555</v>
      </c>
      <c r="E280" s="43" t="s">
        <v>14</v>
      </c>
      <c r="F280" s="43" t="s">
        <v>33</v>
      </c>
      <c r="G280" s="42">
        <v>4</v>
      </c>
      <c r="H280" s="44">
        <f t="shared" si="14"/>
        <v>2.57166</v>
      </c>
      <c r="I280" s="45">
        <v>2.5</v>
      </c>
      <c r="J280" s="42">
        <v>416</v>
      </c>
      <c r="K280" s="42">
        <v>1260</v>
      </c>
    </row>
    <row r="281" ht="21" customHeight="1" spans="1:260">
      <c r="A281" s="42" t="s">
        <v>558</v>
      </c>
      <c r="B281" s="42" t="s">
        <v>557</v>
      </c>
      <c r="C281" s="42" t="s">
        <v>42</v>
      </c>
      <c r="D281" s="43" t="s">
        <v>555</v>
      </c>
      <c r="E281" s="43" t="s">
        <v>32</v>
      </c>
      <c r="F281" s="43" t="s">
        <v>33</v>
      </c>
      <c r="G281" s="42">
        <v>4</v>
      </c>
      <c r="H281" s="44">
        <f t="shared" si="14"/>
        <v>2.57166</v>
      </c>
      <c r="I281" s="45">
        <v>2.5</v>
      </c>
      <c r="J281" s="42">
        <v>416</v>
      </c>
      <c r="K281" s="42">
        <v>1260</v>
      </c>
    </row>
    <row r="282" ht="21" customHeight="1" spans="1:260">
      <c r="A282" s="8">
        <v>8147</v>
      </c>
      <c r="B282" s="8" t="s">
        <v>559</v>
      </c>
      <c r="C282" s="8" t="s">
        <v>42</v>
      </c>
      <c r="D282" s="13" t="s">
        <v>560</v>
      </c>
      <c r="E282" s="13" t="s">
        <v>14</v>
      </c>
      <c r="F282" s="13" t="s">
        <v>83</v>
      </c>
      <c r="G282" s="8">
        <v>4</v>
      </c>
      <c r="H282" s="9">
        <f t="shared" si="14"/>
        <v>3.089701125</v>
      </c>
      <c r="I282" s="10">
        <v>3.5</v>
      </c>
      <c r="J282" s="8">
        <v>357</v>
      </c>
      <c r="K282" s="8">
        <v>1260</v>
      </c>
    </row>
    <row r="283" ht="21" customHeight="1" spans="1:260">
      <c r="A283" s="8">
        <v>8147</v>
      </c>
      <c r="B283" s="8" t="s">
        <v>561</v>
      </c>
      <c r="C283" s="8" t="s">
        <v>42</v>
      </c>
      <c r="D283" s="13" t="s">
        <v>560</v>
      </c>
      <c r="E283" s="13" t="s">
        <v>32</v>
      </c>
      <c r="F283" s="13" t="s">
        <v>562</v>
      </c>
      <c r="G283" s="8">
        <v>6</v>
      </c>
      <c r="H283" s="9">
        <f t="shared" si="14"/>
        <v>1.54571733333333</v>
      </c>
      <c r="I283" s="10">
        <v>2</v>
      </c>
      <c r="J283" s="8">
        <v>416</v>
      </c>
      <c r="K283" s="8">
        <v>1420</v>
      </c>
    </row>
    <row r="284" ht="21" customHeight="1" spans="1:260">
      <c r="A284" s="8">
        <v>8148</v>
      </c>
      <c r="B284" s="8" t="s">
        <v>563</v>
      </c>
      <c r="C284" s="8" t="s">
        <v>42</v>
      </c>
      <c r="D284" s="13" t="s">
        <v>564</v>
      </c>
      <c r="E284" s="13" t="s">
        <v>14</v>
      </c>
      <c r="F284" s="13" t="s">
        <v>436</v>
      </c>
      <c r="G284" s="8">
        <v>4</v>
      </c>
      <c r="H284" s="9">
        <f t="shared" si="14"/>
        <v>3.531087</v>
      </c>
      <c r="I284" s="10">
        <v>4</v>
      </c>
      <c r="J284" s="8">
        <v>357</v>
      </c>
      <c r="K284" s="8">
        <v>1260</v>
      </c>
      <c r="L284" s="8"/>
      <c r="M284" s="13"/>
      <c r="AA284" s="8"/>
      <c r="IZ284" s="13"/>
    </row>
    <row r="285" ht="21" customHeight="1" spans="1:260">
      <c r="A285" s="8">
        <v>8149</v>
      </c>
      <c r="B285" s="8" t="s">
        <v>565</v>
      </c>
      <c r="C285" s="8" t="s">
        <v>42</v>
      </c>
      <c r="D285" s="13" t="s">
        <v>566</v>
      </c>
      <c r="E285" s="13" t="s">
        <v>14</v>
      </c>
      <c r="F285" s="13" t="s">
        <v>567</v>
      </c>
      <c r="G285" s="8">
        <v>6</v>
      </c>
      <c r="H285" s="9">
        <f t="shared" si="14"/>
        <v>2.66690666666667</v>
      </c>
      <c r="I285" s="10">
        <v>3.5</v>
      </c>
      <c r="J285" s="8">
        <v>416</v>
      </c>
      <c r="K285" s="8">
        <v>1400</v>
      </c>
    </row>
    <row r="286" ht="21" customHeight="1" spans="1:260">
      <c r="A286" s="8">
        <v>8149</v>
      </c>
      <c r="B286" s="8" t="s">
        <v>568</v>
      </c>
      <c r="C286" s="8" t="s">
        <v>42</v>
      </c>
      <c r="D286" s="13" t="s">
        <v>566</v>
      </c>
      <c r="E286" s="13" t="s">
        <v>32</v>
      </c>
      <c r="F286" s="13" t="s">
        <v>122</v>
      </c>
      <c r="G286" s="8">
        <v>5</v>
      </c>
      <c r="H286" s="9">
        <f t="shared" si="14"/>
        <v>1.7655435</v>
      </c>
      <c r="I286" s="10">
        <v>2.5</v>
      </c>
      <c r="J286" s="8">
        <v>357</v>
      </c>
      <c r="K286" s="8">
        <v>1260</v>
      </c>
    </row>
    <row r="287" ht="21" customHeight="1" spans="1:260">
      <c r="A287" s="8">
        <v>8150</v>
      </c>
      <c r="B287" s="8" t="s">
        <v>569</v>
      </c>
      <c r="C287" s="8" t="s">
        <v>42</v>
      </c>
      <c r="D287" s="13" t="s">
        <v>570</v>
      </c>
      <c r="E287" s="13" t="s">
        <v>14</v>
      </c>
      <c r="F287" s="13" t="s">
        <v>199</v>
      </c>
      <c r="G287" s="8">
        <v>2</v>
      </c>
      <c r="H287" s="9">
        <f t="shared" si="14"/>
        <v>4.9455</v>
      </c>
      <c r="I287" s="10">
        <v>4</v>
      </c>
      <c r="J287" s="8">
        <v>500</v>
      </c>
      <c r="K287" s="8">
        <v>630</v>
      </c>
    </row>
    <row r="288" ht="21" customHeight="1" spans="1:260">
      <c r="A288" s="8">
        <v>8151</v>
      </c>
      <c r="B288" s="8" t="s">
        <v>571</v>
      </c>
      <c r="C288" s="8" t="s">
        <v>42</v>
      </c>
      <c r="D288" s="13" t="s">
        <v>572</v>
      </c>
      <c r="E288" s="13" t="s">
        <v>14</v>
      </c>
      <c r="F288" s="13" t="s">
        <v>30</v>
      </c>
      <c r="G288" s="8">
        <v>4</v>
      </c>
      <c r="H288" s="9">
        <f t="shared" si="14"/>
        <v>3.600324</v>
      </c>
      <c r="I288" s="10">
        <v>3.5</v>
      </c>
      <c r="J288" s="8">
        <v>416</v>
      </c>
      <c r="K288" s="8">
        <v>1260</v>
      </c>
    </row>
    <row r="289" ht="21" customHeight="1" spans="1:11">
      <c r="A289" s="8">
        <v>8151</v>
      </c>
      <c r="B289" s="8" t="s">
        <v>573</v>
      </c>
      <c r="C289" s="8" t="s">
        <v>42</v>
      </c>
      <c r="D289" s="13" t="s">
        <v>572</v>
      </c>
      <c r="E289" s="13" t="s">
        <v>32</v>
      </c>
      <c r="F289" s="13" t="s">
        <v>85</v>
      </c>
      <c r="G289" s="8">
        <v>6</v>
      </c>
      <c r="H289" s="9">
        <f t="shared" si="14"/>
        <v>1.177029</v>
      </c>
      <c r="I289" s="10">
        <v>2</v>
      </c>
      <c r="J289" s="8">
        <v>357</v>
      </c>
      <c r="K289" s="8">
        <v>1260</v>
      </c>
    </row>
    <row r="290" ht="21" customHeight="1" spans="1:11">
      <c r="A290" s="8">
        <v>8155</v>
      </c>
      <c r="B290" s="8" t="s">
        <v>574</v>
      </c>
      <c r="C290" s="8" t="s">
        <v>42</v>
      </c>
      <c r="D290" s="13" t="s">
        <v>575</v>
      </c>
      <c r="E290" s="13" t="s">
        <v>14</v>
      </c>
      <c r="F290" s="13" t="s">
        <v>425</v>
      </c>
      <c r="G290" s="8">
        <v>4</v>
      </c>
      <c r="H290" s="9">
        <f t="shared" si="14"/>
        <v>3.085992</v>
      </c>
      <c r="I290" s="10">
        <v>3</v>
      </c>
      <c r="J290" s="8">
        <v>416</v>
      </c>
      <c r="K290" s="8">
        <v>1260</v>
      </c>
    </row>
    <row r="291" ht="21" customHeight="1" spans="1:11">
      <c r="A291" s="8">
        <v>8155</v>
      </c>
      <c r="B291" s="8" t="s">
        <v>576</v>
      </c>
      <c r="C291" s="8" t="s">
        <v>42</v>
      </c>
      <c r="D291" s="13" t="s">
        <v>575</v>
      </c>
      <c r="E291" s="13" t="s">
        <v>32</v>
      </c>
      <c r="F291" s="13" t="s">
        <v>425</v>
      </c>
      <c r="G291" s="8">
        <v>4</v>
      </c>
      <c r="H291" s="9">
        <f t="shared" si="14"/>
        <v>3.085992</v>
      </c>
      <c r="I291" s="10">
        <v>3</v>
      </c>
      <c r="J291" s="8">
        <v>416</v>
      </c>
      <c r="K291" s="8">
        <v>1260</v>
      </c>
    </row>
    <row r="292" ht="21" customHeight="1" spans="1:11">
      <c r="A292" s="8">
        <v>8156</v>
      </c>
      <c r="B292" s="8" t="s">
        <v>577</v>
      </c>
      <c r="C292" s="8" t="s">
        <v>42</v>
      </c>
      <c r="D292" s="13" t="s">
        <v>578</v>
      </c>
      <c r="E292" s="13" t="s">
        <v>14</v>
      </c>
      <c r="F292" s="13" t="s">
        <v>425</v>
      </c>
      <c r="G292" s="8">
        <v>4</v>
      </c>
      <c r="H292" s="9">
        <f t="shared" si="14"/>
        <v>3.085992</v>
      </c>
      <c r="I292" s="10">
        <v>3</v>
      </c>
      <c r="J292" s="8">
        <v>416</v>
      </c>
      <c r="K292" s="8">
        <v>1260</v>
      </c>
    </row>
    <row r="293" ht="21" customHeight="1" spans="1:11">
      <c r="A293" s="8">
        <v>8156</v>
      </c>
      <c r="B293" s="8" t="s">
        <v>579</v>
      </c>
      <c r="C293" s="8" t="s">
        <v>42</v>
      </c>
      <c r="D293" s="13" t="s">
        <v>578</v>
      </c>
      <c r="E293" s="13" t="s">
        <v>32</v>
      </c>
      <c r="F293" s="13" t="s">
        <v>425</v>
      </c>
      <c r="G293" s="8">
        <v>4</v>
      </c>
      <c r="H293" s="9">
        <f t="shared" si="14"/>
        <v>3.085992</v>
      </c>
      <c r="I293" s="10">
        <v>3</v>
      </c>
      <c r="J293" s="8">
        <v>416</v>
      </c>
      <c r="K293" s="8">
        <v>1260</v>
      </c>
    </row>
    <row r="294" ht="21" customHeight="1" spans="1:11">
      <c r="A294" s="42" t="s">
        <v>580</v>
      </c>
      <c r="B294" s="42" t="s">
        <v>577</v>
      </c>
      <c r="C294" s="42" t="s">
        <v>42</v>
      </c>
      <c r="D294" s="43" t="s">
        <v>578</v>
      </c>
      <c r="E294" s="43" t="s">
        <v>14</v>
      </c>
      <c r="F294" s="43" t="s">
        <v>425</v>
      </c>
      <c r="G294" s="42">
        <v>4</v>
      </c>
      <c r="H294" s="44">
        <f t="shared" si="14"/>
        <v>3.085992</v>
      </c>
      <c r="I294" s="45">
        <v>3</v>
      </c>
      <c r="J294" s="42">
        <v>416</v>
      </c>
      <c r="K294" s="42">
        <v>1260</v>
      </c>
    </row>
    <row r="295" ht="21" customHeight="1" spans="1:11">
      <c r="A295" s="42" t="s">
        <v>580</v>
      </c>
      <c r="B295" s="42" t="s">
        <v>579</v>
      </c>
      <c r="C295" s="42" t="s">
        <v>42</v>
      </c>
      <c r="D295" s="43" t="s">
        <v>578</v>
      </c>
      <c r="E295" s="43" t="s">
        <v>32</v>
      </c>
      <c r="F295" s="43" t="s">
        <v>425</v>
      </c>
      <c r="G295" s="42">
        <v>4</v>
      </c>
      <c r="H295" s="44">
        <f t="shared" si="14"/>
        <v>3.085992</v>
      </c>
      <c r="I295" s="45">
        <v>3</v>
      </c>
      <c r="J295" s="42">
        <v>416</v>
      </c>
      <c r="K295" s="42">
        <v>1260</v>
      </c>
    </row>
    <row r="296" ht="21" customHeight="1" spans="1:11">
      <c r="A296" s="8">
        <v>8159</v>
      </c>
      <c r="B296" s="8" t="s">
        <v>581</v>
      </c>
      <c r="C296" s="8" t="s">
        <v>42</v>
      </c>
      <c r="E296" s="13" t="s">
        <v>14</v>
      </c>
      <c r="F296" s="13" t="s">
        <v>425</v>
      </c>
      <c r="G296" s="8">
        <v>4</v>
      </c>
      <c r="H296" s="36">
        <f t="shared" si="14"/>
        <v>3.085992</v>
      </c>
      <c r="I296" s="10">
        <v>3</v>
      </c>
      <c r="J296" s="8">
        <v>416</v>
      </c>
      <c r="K296" s="8">
        <v>1260</v>
      </c>
    </row>
    <row r="297" ht="21" customHeight="1" spans="1:11">
      <c r="A297" s="8">
        <v>8159</v>
      </c>
      <c r="B297" s="8" t="s">
        <v>582</v>
      </c>
      <c r="C297" s="8" t="s">
        <v>42</v>
      </c>
      <c r="E297" s="13" t="s">
        <v>32</v>
      </c>
      <c r="F297" s="13" t="s">
        <v>425</v>
      </c>
      <c r="G297" s="8">
        <v>4</v>
      </c>
      <c r="H297" s="36">
        <f t="shared" si="14"/>
        <v>3.085992</v>
      </c>
      <c r="I297" s="10">
        <v>3</v>
      </c>
      <c r="J297" s="8">
        <v>416</v>
      </c>
      <c r="K297" s="8">
        <v>1260</v>
      </c>
    </row>
    <row r="298" ht="21" customHeight="1" spans="1:11">
      <c r="A298" s="42" t="s">
        <v>583</v>
      </c>
      <c r="B298" s="42" t="s">
        <v>581</v>
      </c>
      <c r="C298" s="42" t="s">
        <v>42</v>
      </c>
      <c r="D298" s="43" t="s">
        <v>584</v>
      </c>
      <c r="E298" s="43" t="s">
        <v>14</v>
      </c>
      <c r="F298" s="43" t="s">
        <v>425</v>
      </c>
      <c r="G298" s="42">
        <v>4</v>
      </c>
      <c r="H298" s="50">
        <f t="shared" si="14"/>
        <v>3.085992</v>
      </c>
      <c r="I298" s="45">
        <v>3</v>
      </c>
      <c r="J298" s="42">
        <v>416</v>
      </c>
      <c r="K298" s="42">
        <v>1260</v>
      </c>
    </row>
    <row r="299" ht="21" customHeight="1" spans="1:11">
      <c r="A299" s="42" t="s">
        <v>583</v>
      </c>
      <c r="B299" s="42" t="s">
        <v>582</v>
      </c>
      <c r="C299" s="42" t="s">
        <v>42</v>
      </c>
      <c r="D299" s="43" t="s">
        <v>584</v>
      </c>
      <c r="E299" s="43" t="s">
        <v>32</v>
      </c>
      <c r="F299" s="43" t="s">
        <v>425</v>
      </c>
      <c r="G299" s="42">
        <v>4</v>
      </c>
      <c r="H299" s="50">
        <f t="shared" si="14"/>
        <v>3.085992</v>
      </c>
      <c r="I299" s="45">
        <v>3</v>
      </c>
      <c r="J299" s="42">
        <v>416</v>
      </c>
      <c r="K299" s="42">
        <v>1260</v>
      </c>
    </row>
    <row r="300" ht="21" customHeight="1" spans="1:11">
      <c r="A300" s="8">
        <v>8160</v>
      </c>
      <c r="B300" s="8" t="s">
        <v>585</v>
      </c>
      <c r="C300" s="8" t="s">
        <v>42</v>
      </c>
      <c r="D300" s="13" t="s">
        <v>584</v>
      </c>
      <c r="E300" s="13" t="s">
        <v>14</v>
      </c>
      <c r="F300" s="13" t="s">
        <v>425</v>
      </c>
      <c r="G300" s="8">
        <v>4</v>
      </c>
      <c r="H300" s="36">
        <f t="shared" si="14"/>
        <v>3.085992</v>
      </c>
      <c r="I300" s="10">
        <v>3</v>
      </c>
      <c r="J300" s="8">
        <v>416</v>
      </c>
      <c r="K300" s="8">
        <v>1260</v>
      </c>
    </row>
    <row r="301" ht="21" customHeight="1" spans="1:11">
      <c r="A301" s="8">
        <v>8160</v>
      </c>
      <c r="B301" s="8" t="s">
        <v>586</v>
      </c>
      <c r="C301" s="8" t="s">
        <v>42</v>
      </c>
      <c r="D301" s="13" t="s">
        <v>584</v>
      </c>
      <c r="E301" s="13" t="s">
        <v>32</v>
      </c>
      <c r="F301" s="13" t="s">
        <v>425</v>
      </c>
      <c r="G301" s="8">
        <v>4</v>
      </c>
      <c r="H301" s="36">
        <f t="shared" si="14"/>
        <v>3.085992</v>
      </c>
      <c r="I301" s="10">
        <v>3</v>
      </c>
      <c r="J301" s="8">
        <v>416</v>
      </c>
      <c r="K301" s="8">
        <v>1260</v>
      </c>
    </row>
    <row r="302" ht="21" customHeight="1" spans="1:11">
      <c r="A302" s="8">
        <v>8162</v>
      </c>
      <c r="B302" s="8" t="s">
        <v>587</v>
      </c>
      <c r="C302" s="8" t="s">
        <v>42</v>
      </c>
      <c r="D302" s="13" t="s">
        <v>588</v>
      </c>
      <c r="E302" s="13" t="s">
        <v>14</v>
      </c>
      <c r="F302" s="13" t="s">
        <v>425</v>
      </c>
      <c r="G302" s="8">
        <v>4</v>
      </c>
      <c r="H302" s="9">
        <f t="shared" si="14"/>
        <v>3.085992</v>
      </c>
      <c r="I302" s="10">
        <v>3</v>
      </c>
      <c r="J302" s="8">
        <v>416</v>
      </c>
      <c r="K302" s="8">
        <v>1260</v>
      </c>
    </row>
    <row r="303" ht="21" customHeight="1" spans="1:11">
      <c r="A303" s="8">
        <v>8162</v>
      </c>
      <c r="B303" s="8" t="s">
        <v>589</v>
      </c>
      <c r="C303" s="8" t="s">
        <v>42</v>
      </c>
      <c r="D303" s="13" t="s">
        <v>588</v>
      </c>
      <c r="E303" s="13" t="s">
        <v>32</v>
      </c>
      <c r="F303" s="13" t="s">
        <v>425</v>
      </c>
      <c r="G303" s="8">
        <v>4</v>
      </c>
      <c r="H303" s="9">
        <f t="shared" si="14"/>
        <v>3.085992</v>
      </c>
      <c r="I303" s="10">
        <v>3</v>
      </c>
      <c r="J303" s="8">
        <v>416</v>
      </c>
      <c r="K303" s="8">
        <v>1260</v>
      </c>
    </row>
    <row r="304" ht="21" customHeight="1" spans="1:11">
      <c r="A304" s="8">
        <v>8174</v>
      </c>
      <c r="B304" s="8" t="s">
        <v>590</v>
      </c>
      <c r="C304" s="8" t="s">
        <v>42</v>
      </c>
      <c r="D304" s="13" t="s">
        <v>591</v>
      </c>
      <c r="E304" s="13" t="s">
        <v>14</v>
      </c>
      <c r="F304" s="13" t="s">
        <v>65</v>
      </c>
      <c r="G304" s="8">
        <v>4</v>
      </c>
      <c r="H304" s="9">
        <f t="shared" si="14"/>
        <v>2.64831525</v>
      </c>
      <c r="I304" s="10">
        <v>3</v>
      </c>
      <c r="J304" s="8">
        <v>357</v>
      </c>
      <c r="K304" s="8">
        <v>1260</v>
      </c>
    </row>
    <row r="305" ht="21" customHeight="1" spans="1:11">
      <c r="A305" s="8">
        <v>8174</v>
      </c>
      <c r="B305" s="8" t="s">
        <v>592</v>
      </c>
      <c r="C305" s="8" t="s">
        <v>42</v>
      </c>
      <c r="D305" s="13" t="s">
        <v>591</v>
      </c>
      <c r="E305" s="13" t="s">
        <v>32</v>
      </c>
      <c r="F305" s="13" t="s">
        <v>72</v>
      </c>
      <c r="G305" s="8">
        <v>4</v>
      </c>
      <c r="H305" s="9">
        <f t="shared" si="14"/>
        <v>1.9318359375</v>
      </c>
      <c r="I305" s="10">
        <v>2.5</v>
      </c>
      <c r="J305" s="8">
        <v>312.5</v>
      </c>
      <c r="K305" s="8">
        <v>1260</v>
      </c>
    </row>
    <row r="306" ht="21" customHeight="1" spans="1:11">
      <c r="A306" s="8">
        <v>8175</v>
      </c>
      <c r="B306" s="8" t="s">
        <v>593</v>
      </c>
      <c r="C306" s="8" t="s">
        <v>42</v>
      </c>
      <c r="D306" s="13" t="s">
        <v>594</v>
      </c>
      <c r="E306" s="13" t="s">
        <v>14</v>
      </c>
      <c r="F306" s="13" t="s">
        <v>30</v>
      </c>
      <c r="G306" s="8">
        <v>4</v>
      </c>
      <c r="H306" s="9">
        <f t="shared" si="14"/>
        <v>3.600324</v>
      </c>
      <c r="I306" s="10">
        <v>3.5</v>
      </c>
      <c r="J306" s="8">
        <v>416</v>
      </c>
      <c r="K306" s="8">
        <v>1260</v>
      </c>
    </row>
    <row r="307" ht="21" customHeight="1" spans="1:11">
      <c r="A307" s="8">
        <v>8175</v>
      </c>
      <c r="B307" s="8" t="s">
        <v>595</v>
      </c>
      <c r="C307" s="8" t="s">
        <v>42</v>
      </c>
      <c r="D307" s="13" t="s">
        <v>594</v>
      </c>
      <c r="E307" s="13" t="s">
        <v>32</v>
      </c>
      <c r="F307" s="13" t="s">
        <v>596</v>
      </c>
      <c r="G307" s="8">
        <v>11</v>
      </c>
      <c r="H307" s="9">
        <f t="shared" si="14"/>
        <v>0.899181818181818</v>
      </c>
      <c r="I307" s="10">
        <v>2.5</v>
      </c>
      <c r="J307" s="8">
        <v>400</v>
      </c>
      <c r="K307" s="8">
        <v>1260</v>
      </c>
    </row>
    <row r="308" ht="21" customHeight="1" spans="1:11">
      <c r="A308" s="8">
        <v>8175</v>
      </c>
      <c r="B308" s="8" t="s">
        <v>597</v>
      </c>
      <c r="C308" s="8" t="s">
        <v>42</v>
      </c>
      <c r="D308" s="13" t="s">
        <v>594</v>
      </c>
      <c r="E308" s="13" t="s">
        <v>598</v>
      </c>
      <c r="F308" s="13" t="s">
        <v>599</v>
      </c>
      <c r="G308" s="8">
        <v>56</v>
      </c>
      <c r="H308" s="9">
        <f t="shared" ref="H308:H310" si="15">J308*K308*7.85*I308/G308/1000000</f>
        <v>0.055107</v>
      </c>
      <c r="I308" s="10">
        <v>2</v>
      </c>
      <c r="J308" s="8">
        <v>156</v>
      </c>
      <c r="K308" s="8">
        <v>1260</v>
      </c>
    </row>
    <row r="309" ht="21" customHeight="1" spans="1:11">
      <c r="A309" s="8">
        <v>8175</v>
      </c>
      <c r="B309" s="8" t="s">
        <v>600</v>
      </c>
      <c r="C309" s="8" t="s">
        <v>42</v>
      </c>
      <c r="D309" s="13" t="s">
        <v>594</v>
      </c>
      <c r="E309" s="13" t="s">
        <v>601</v>
      </c>
      <c r="F309" s="13" t="s">
        <v>602</v>
      </c>
      <c r="G309" s="8">
        <v>12</v>
      </c>
      <c r="H309" s="9">
        <f t="shared" si="15"/>
        <v>0.474768</v>
      </c>
      <c r="I309" s="10">
        <v>3</v>
      </c>
      <c r="J309" s="8">
        <v>192</v>
      </c>
      <c r="K309" s="8">
        <v>1260</v>
      </c>
    </row>
    <row r="310" ht="21" customHeight="1" spans="1:11">
      <c r="A310" s="8">
        <v>8175</v>
      </c>
      <c r="B310" s="8" t="s">
        <v>603</v>
      </c>
      <c r="C310" s="8" t="s">
        <v>42</v>
      </c>
      <c r="D310" s="13" t="s">
        <v>594</v>
      </c>
      <c r="E310" s="13" t="s">
        <v>604</v>
      </c>
      <c r="F310" s="13" t="s">
        <v>605</v>
      </c>
      <c r="G310" s="8">
        <v>18</v>
      </c>
      <c r="H310" s="9">
        <f t="shared" si="15"/>
        <v>0.19782</v>
      </c>
      <c r="I310" s="10">
        <v>3</v>
      </c>
      <c r="J310" s="8">
        <v>120</v>
      </c>
      <c r="K310" s="8">
        <v>1260</v>
      </c>
    </row>
    <row r="311" ht="21" customHeight="1" spans="1:11">
      <c r="A311" s="8">
        <v>8176</v>
      </c>
      <c r="B311" s="8" t="s">
        <v>606</v>
      </c>
      <c r="C311" s="8" t="s">
        <v>42</v>
      </c>
      <c r="D311" s="13" t="s">
        <v>607</v>
      </c>
      <c r="E311" s="13" t="s">
        <v>14</v>
      </c>
      <c r="F311" s="13" t="s">
        <v>65</v>
      </c>
      <c r="G311" s="8">
        <v>4</v>
      </c>
      <c r="H311" s="9">
        <f t="shared" si="14"/>
        <v>2.64831525</v>
      </c>
      <c r="I311" s="10">
        <v>3</v>
      </c>
      <c r="J311" s="8">
        <v>357</v>
      </c>
      <c r="K311" s="8">
        <v>1260</v>
      </c>
    </row>
    <row r="312" ht="21" customHeight="1" spans="1:11">
      <c r="A312" s="8">
        <v>8176</v>
      </c>
      <c r="B312" s="8" t="s">
        <v>608</v>
      </c>
      <c r="C312" s="8" t="s">
        <v>42</v>
      </c>
      <c r="D312" s="13" t="s">
        <v>607</v>
      </c>
      <c r="E312" s="13" t="s">
        <v>32</v>
      </c>
      <c r="F312" s="13" t="s">
        <v>307</v>
      </c>
      <c r="G312" s="8">
        <v>4</v>
      </c>
      <c r="H312" s="9">
        <f t="shared" si="14"/>
        <v>2.318203125</v>
      </c>
      <c r="I312" s="10">
        <v>3</v>
      </c>
      <c r="J312" s="8">
        <v>312.5</v>
      </c>
      <c r="K312" s="8">
        <v>1260</v>
      </c>
    </row>
    <row r="313" ht="21" customHeight="1" spans="1:11">
      <c r="A313" s="8">
        <v>8177</v>
      </c>
      <c r="B313" s="8" t="s">
        <v>606</v>
      </c>
      <c r="C313" s="8" t="s">
        <v>42</v>
      </c>
      <c r="D313" s="13" t="s">
        <v>609</v>
      </c>
      <c r="E313" s="13" t="s">
        <v>14</v>
      </c>
      <c r="F313" s="13" t="s">
        <v>65</v>
      </c>
      <c r="G313" s="8">
        <v>4</v>
      </c>
      <c r="H313" s="9">
        <f t="shared" si="14"/>
        <v>2.64831525</v>
      </c>
      <c r="I313" s="10">
        <v>3</v>
      </c>
      <c r="J313" s="8">
        <v>357</v>
      </c>
      <c r="K313" s="8">
        <v>1260</v>
      </c>
    </row>
    <row r="314" ht="21" customHeight="1" spans="1:11">
      <c r="A314" s="8">
        <v>8177</v>
      </c>
      <c r="B314" s="8" t="s">
        <v>608</v>
      </c>
      <c r="C314" s="8" t="s">
        <v>42</v>
      </c>
      <c r="D314" s="13" t="s">
        <v>609</v>
      </c>
      <c r="E314" s="13" t="s">
        <v>32</v>
      </c>
      <c r="F314" s="13" t="s">
        <v>307</v>
      </c>
      <c r="G314" s="8">
        <v>4</v>
      </c>
      <c r="H314" s="9">
        <f t="shared" si="14"/>
        <v>2.318203125</v>
      </c>
      <c r="I314" s="10">
        <v>3</v>
      </c>
      <c r="J314" s="8">
        <v>312.5</v>
      </c>
      <c r="K314" s="8">
        <v>1260</v>
      </c>
    </row>
    <row r="315" ht="21" customHeight="1" spans="1:11">
      <c r="A315" s="8">
        <v>8178</v>
      </c>
      <c r="B315" s="8" t="s">
        <v>610</v>
      </c>
      <c r="C315" s="8" t="s">
        <v>42</v>
      </c>
      <c r="D315" s="13" t="s">
        <v>611</v>
      </c>
      <c r="E315" s="13" t="s">
        <v>14</v>
      </c>
      <c r="F315" s="13" t="s">
        <v>439</v>
      </c>
      <c r="G315" s="8">
        <v>6</v>
      </c>
      <c r="H315" s="9">
        <f t="shared" si="14"/>
        <v>2.28592</v>
      </c>
      <c r="I315" s="10">
        <v>3</v>
      </c>
      <c r="J315" s="8">
        <v>416</v>
      </c>
      <c r="K315" s="8">
        <v>1400</v>
      </c>
    </row>
    <row r="316" ht="21" customHeight="1" spans="1:11">
      <c r="A316" s="8">
        <v>8178</v>
      </c>
      <c r="B316" s="8" t="s">
        <v>612</v>
      </c>
      <c r="C316" s="8" t="s">
        <v>42</v>
      </c>
      <c r="D316" s="13" t="s">
        <v>611</v>
      </c>
      <c r="E316" s="13" t="s">
        <v>32</v>
      </c>
      <c r="F316" s="13" t="s">
        <v>536</v>
      </c>
      <c r="G316" s="8">
        <v>9</v>
      </c>
      <c r="H316" s="9">
        <f t="shared" si="14"/>
        <v>1.6485</v>
      </c>
      <c r="I316" s="10">
        <v>3</v>
      </c>
      <c r="J316" s="8">
        <v>500</v>
      </c>
      <c r="K316" s="8">
        <v>1260</v>
      </c>
    </row>
    <row r="317" ht="21" customHeight="1" spans="1:11">
      <c r="A317" s="8">
        <v>8178</v>
      </c>
      <c r="B317" s="8" t="s">
        <v>613</v>
      </c>
      <c r="C317" s="8" t="s">
        <v>42</v>
      </c>
      <c r="D317" s="13" t="s">
        <v>611</v>
      </c>
      <c r="E317" s="13" t="s">
        <v>346</v>
      </c>
      <c r="F317" s="13" t="s">
        <v>614</v>
      </c>
      <c r="G317" s="8">
        <v>26</v>
      </c>
      <c r="H317" s="9">
        <f t="shared" si="14"/>
        <v>0.190211538461538</v>
      </c>
      <c r="I317" s="10">
        <v>4</v>
      </c>
      <c r="J317" s="8">
        <v>125</v>
      </c>
      <c r="K317" s="8">
        <v>1260</v>
      </c>
    </row>
    <row r="318" ht="21" customHeight="1" spans="1:11">
      <c r="A318" s="8">
        <v>8178</v>
      </c>
      <c r="B318" s="8" t="s">
        <v>615</v>
      </c>
      <c r="C318" s="8" t="s">
        <v>42</v>
      </c>
      <c r="D318" s="13" t="s">
        <v>611</v>
      </c>
      <c r="E318" s="13" t="s">
        <v>616</v>
      </c>
      <c r="F318" s="13" t="s">
        <v>617</v>
      </c>
      <c r="G318" s="8">
        <v>8</v>
      </c>
      <c r="H318" s="9">
        <f t="shared" si="14"/>
        <v>0.5192775</v>
      </c>
      <c r="I318" s="10">
        <v>3</v>
      </c>
      <c r="J318" s="8">
        <v>140</v>
      </c>
      <c r="K318" s="8">
        <v>1260</v>
      </c>
    </row>
    <row r="319" ht="21" customHeight="1" spans="1:11">
      <c r="A319" s="8">
        <v>8178</v>
      </c>
      <c r="B319" s="8" t="s">
        <v>618</v>
      </c>
      <c r="C319" s="8" t="s">
        <v>42</v>
      </c>
      <c r="D319" s="13" t="s">
        <v>611</v>
      </c>
      <c r="E319" s="13" t="s">
        <v>619</v>
      </c>
      <c r="F319" s="13" t="s">
        <v>620</v>
      </c>
      <c r="G319" s="8">
        <v>56</v>
      </c>
      <c r="H319" s="9">
        <f t="shared" si="14"/>
        <v>0.0525459375</v>
      </c>
      <c r="I319" s="10">
        <v>2.5</v>
      </c>
      <c r="J319" s="8">
        <v>119</v>
      </c>
      <c r="K319" s="8">
        <v>1260</v>
      </c>
    </row>
    <row r="320" ht="21" customHeight="1" spans="1:11">
      <c r="A320" s="8">
        <v>8178</v>
      </c>
      <c r="B320" s="8" t="s">
        <v>621</v>
      </c>
      <c r="C320" s="8" t="s">
        <v>42</v>
      </c>
      <c r="D320" s="13" t="s">
        <v>611</v>
      </c>
      <c r="E320" s="13" t="s">
        <v>303</v>
      </c>
      <c r="H320" s="9"/>
    </row>
    <row r="321" ht="21" customHeight="1" spans="1:11">
      <c r="A321" s="42" t="s">
        <v>622</v>
      </c>
      <c r="B321" s="42" t="s">
        <v>610</v>
      </c>
      <c r="C321" s="42" t="s">
        <v>42</v>
      </c>
      <c r="D321" s="43"/>
      <c r="E321" s="43" t="s">
        <v>14</v>
      </c>
      <c r="F321" s="43" t="s">
        <v>425</v>
      </c>
      <c r="G321" s="49">
        <v>5</v>
      </c>
      <c r="H321" s="50">
        <f t="shared" ref="H321:H352" si="16">J321*K321*7.85*I321/G321/1000000</f>
        <v>2.4687936</v>
      </c>
      <c r="I321" s="55">
        <v>3</v>
      </c>
      <c r="J321" s="49">
        <v>416</v>
      </c>
      <c r="K321" s="49">
        <v>1260</v>
      </c>
    </row>
    <row r="322" ht="21" customHeight="1" spans="1:11">
      <c r="A322" s="42" t="s">
        <v>622</v>
      </c>
      <c r="B322" s="42" t="s">
        <v>612</v>
      </c>
      <c r="C322" s="42" t="s">
        <v>42</v>
      </c>
      <c r="D322" s="43"/>
      <c r="E322" s="43" t="s">
        <v>32</v>
      </c>
      <c r="F322" s="43" t="s">
        <v>65</v>
      </c>
      <c r="G322" s="49">
        <v>5</v>
      </c>
      <c r="H322" s="50">
        <f t="shared" si="16"/>
        <v>2.1186522</v>
      </c>
      <c r="I322" s="55">
        <v>3</v>
      </c>
      <c r="J322" s="49">
        <v>357</v>
      </c>
      <c r="K322" s="49">
        <v>1260</v>
      </c>
    </row>
    <row r="323" ht="21" customHeight="1" spans="1:11">
      <c r="A323" s="42" t="s">
        <v>622</v>
      </c>
      <c r="B323" s="42" t="s">
        <v>613</v>
      </c>
      <c r="C323" s="42" t="s">
        <v>42</v>
      </c>
      <c r="D323" s="43"/>
      <c r="E323" s="43" t="s">
        <v>346</v>
      </c>
      <c r="F323" s="43" t="s">
        <v>614</v>
      </c>
      <c r="G323" s="42">
        <v>26</v>
      </c>
      <c r="H323" s="50">
        <f t="shared" si="16"/>
        <v>0.190211538461538</v>
      </c>
      <c r="I323" s="45">
        <v>4</v>
      </c>
      <c r="J323" s="42">
        <v>125</v>
      </c>
      <c r="K323" s="42">
        <v>1260</v>
      </c>
    </row>
    <row r="324" ht="21" customHeight="1" spans="1:11">
      <c r="A324" s="42" t="s">
        <v>622</v>
      </c>
      <c r="B324" s="42" t="s">
        <v>615</v>
      </c>
      <c r="C324" s="42" t="s">
        <v>42</v>
      </c>
      <c r="D324" s="43"/>
      <c r="E324" s="43" t="s">
        <v>616</v>
      </c>
      <c r="F324" s="43" t="s">
        <v>617</v>
      </c>
      <c r="G324" s="42">
        <v>8</v>
      </c>
      <c r="H324" s="50">
        <f t="shared" si="16"/>
        <v>0.5192775</v>
      </c>
      <c r="I324" s="45">
        <v>3</v>
      </c>
      <c r="J324" s="42">
        <v>140</v>
      </c>
      <c r="K324" s="42">
        <v>1260</v>
      </c>
    </row>
    <row r="325" ht="21" customHeight="1" spans="1:11">
      <c r="A325" s="42" t="s">
        <v>622</v>
      </c>
      <c r="B325" s="42" t="s">
        <v>618</v>
      </c>
      <c r="C325" s="42" t="s">
        <v>42</v>
      </c>
      <c r="D325" s="43"/>
      <c r="E325" s="43" t="s">
        <v>619</v>
      </c>
      <c r="F325" s="43" t="s">
        <v>620</v>
      </c>
      <c r="G325" s="42">
        <v>56</v>
      </c>
      <c r="H325" s="50">
        <f t="shared" si="16"/>
        <v>0.0525459375</v>
      </c>
      <c r="I325" s="45">
        <v>2.5</v>
      </c>
      <c r="J325" s="42">
        <v>119</v>
      </c>
      <c r="K325" s="42">
        <v>1260</v>
      </c>
    </row>
    <row r="326" ht="21" customHeight="1" spans="1:11">
      <c r="A326" s="8">
        <v>8179</v>
      </c>
      <c r="B326" s="8" t="s">
        <v>623</v>
      </c>
      <c r="C326" s="8" t="s">
        <v>42</v>
      </c>
      <c r="D326" s="13" t="s">
        <v>624</v>
      </c>
      <c r="E326" s="13" t="s">
        <v>14</v>
      </c>
      <c r="F326" s="13" t="s">
        <v>275</v>
      </c>
      <c r="G326" s="8">
        <v>2</v>
      </c>
      <c r="H326" s="36">
        <f t="shared" si="16"/>
        <v>4.114656</v>
      </c>
      <c r="I326" s="10">
        <v>4</v>
      </c>
      <c r="J326" s="8">
        <v>416</v>
      </c>
      <c r="K326" s="8">
        <v>630</v>
      </c>
    </row>
    <row r="327" ht="21" customHeight="1" spans="1:11">
      <c r="A327" s="8">
        <v>8180</v>
      </c>
      <c r="B327" s="8" t="s">
        <v>569</v>
      </c>
      <c r="C327" s="8" t="s">
        <v>42</v>
      </c>
      <c r="D327" s="13" t="s">
        <v>625</v>
      </c>
      <c r="E327" s="13" t="s">
        <v>14</v>
      </c>
      <c r="F327" s="13" t="s">
        <v>199</v>
      </c>
      <c r="G327" s="8">
        <v>2</v>
      </c>
      <c r="H327" s="9">
        <f t="shared" si="16"/>
        <v>4.9455</v>
      </c>
      <c r="I327" s="10">
        <v>4</v>
      </c>
      <c r="J327" s="8">
        <v>500</v>
      </c>
      <c r="K327" s="8">
        <v>630</v>
      </c>
    </row>
    <row r="328" ht="21" customHeight="1" spans="1:11">
      <c r="A328" s="8">
        <v>8180</v>
      </c>
      <c r="B328" s="8" t="s">
        <v>626</v>
      </c>
      <c r="C328" s="8" t="s">
        <v>42</v>
      </c>
      <c r="D328" s="13" t="s">
        <v>625</v>
      </c>
      <c r="E328" s="13" t="s">
        <v>32</v>
      </c>
      <c r="F328" s="13" t="s">
        <v>154</v>
      </c>
      <c r="G328" s="8">
        <v>10</v>
      </c>
      <c r="H328" s="9">
        <f t="shared" si="16"/>
        <v>0.642915</v>
      </c>
      <c r="I328" s="10">
        <v>2</v>
      </c>
      <c r="J328" s="8">
        <v>325</v>
      </c>
      <c r="K328" s="8">
        <v>1260</v>
      </c>
    </row>
    <row r="329" ht="21" customHeight="1" spans="1:11">
      <c r="A329" s="8">
        <v>8181</v>
      </c>
      <c r="B329" s="8" t="s">
        <v>627</v>
      </c>
      <c r="C329" s="8" t="s">
        <v>42</v>
      </c>
      <c r="D329" s="13" t="s">
        <v>628</v>
      </c>
      <c r="E329" s="13" t="s">
        <v>14</v>
      </c>
      <c r="F329" s="13" t="s">
        <v>122</v>
      </c>
      <c r="G329" s="8">
        <v>4</v>
      </c>
      <c r="H329" s="36">
        <f t="shared" si="16"/>
        <v>2.206929375</v>
      </c>
      <c r="I329" s="10">
        <v>2.5</v>
      </c>
      <c r="J329" s="8">
        <v>357</v>
      </c>
      <c r="K329" s="8">
        <v>1260</v>
      </c>
    </row>
    <row r="330" ht="21" customHeight="1" spans="1:11">
      <c r="A330" s="8">
        <v>8181</v>
      </c>
      <c r="B330" s="8" t="s">
        <v>629</v>
      </c>
      <c r="C330" s="8" t="s">
        <v>42</v>
      </c>
      <c r="D330" s="13" t="s">
        <v>628</v>
      </c>
      <c r="E330" s="13" t="s">
        <v>32</v>
      </c>
      <c r="F330" s="13" t="s">
        <v>122</v>
      </c>
      <c r="G330" s="8">
        <v>8</v>
      </c>
      <c r="H330" s="36">
        <f t="shared" si="16"/>
        <v>1.1034646875</v>
      </c>
      <c r="I330" s="10">
        <v>2.5</v>
      </c>
      <c r="J330" s="8">
        <v>357</v>
      </c>
      <c r="K330" s="8">
        <v>1260</v>
      </c>
    </row>
    <row r="331" ht="21" customHeight="1" spans="1:11">
      <c r="A331" s="8">
        <v>8186</v>
      </c>
      <c r="B331" s="8" t="s">
        <v>630</v>
      </c>
      <c r="C331" s="8" t="s">
        <v>42</v>
      </c>
      <c r="D331" s="13" t="s">
        <v>631</v>
      </c>
      <c r="E331" s="13" t="s">
        <v>14</v>
      </c>
      <c r="F331" s="13" t="s">
        <v>425</v>
      </c>
      <c r="G331" s="8">
        <v>4</v>
      </c>
      <c r="H331" s="36">
        <f t="shared" si="16"/>
        <v>3.085992</v>
      </c>
      <c r="I331" s="10">
        <v>3</v>
      </c>
      <c r="J331" s="8">
        <v>416</v>
      </c>
      <c r="K331" s="8">
        <v>1260</v>
      </c>
    </row>
    <row r="332" ht="21" customHeight="1" spans="1:11">
      <c r="A332" s="8">
        <v>8186</v>
      </c>
      <c r="B332" s="8" t="s">
        <v>632</v>
      </c>
      <c r="C332" s="8" t="s">
        <v>42</v>
      </c>
      <c r="D332" s="13" t="s">
        <v>631</v>
      </c>
      <c r="E332" s="13" t="s">
        <v>32</v>
      </c>
      <c r="F332" s="13" t="s">
        <v>425</v>
      </c>
      <c r="G332" s="8">
        <v>4</v>
      </c>
      <c r="H332" s="36">
        <f t="shared" si="16"/>
        <v>3.085992</v>
      </c>
      <c r="I332" s="10">
        <v>3</v>
      </c>
      <c r="J332" s="8">
        <v>416</v>
      </c>
      <c r="K332" s="8">
        <v>1260</v>
      </c>
    </row>
    <row r="333" ht="21" customHeight="1" spans="1:11">
      <c r="A333" s="8">
        <v>8187</v>
      </c>
      <c r="B333" s="8" t="s">
        <v>633</v>
      </c>
      <c r="C333" s="8" t="s">
        <v>42</v>
      </c>
      <c r="D333" s="13" t="s">
        <v>634</v>
      </c>
      <c r="E333" s="13" t="s">
        <v>14</v>
      </c>
      <c r="F333" s="13" t="s">
        <v>635</v>
      </c>
      <c r="G333" s="8">
        <v>4</v>
      </c>
      <c r="H333" s="36">
        <f t="shared" si="16"/>
        <v>2.828826</v>
      </c>
      <c r="I333" s="10">
        <v>2.75</v>
      </c>
      <c r="J333" s="8">
        <v>416</v>
      </c>
      <c r="K333" s="8">
        <v>1260</v>
      </c>
    </row>
    <row r="334" ht="21" customHeight="1" spans="1:11">
      <c r="A334" s="8">
        <v>8187</v>
      </c>
      <c r="B334" s="8" t="s">
        <v>636</v>
      </c>
      <c r="C334" s="8" t="s">
        <v>42</v>
      </c>
      <c r="D334" s="13" t="s">
        <v>634</v>
      </c>
      <c r="E334" s="13" t="s">
        <v>32</v>
      </c>
      <c r="F334" s="13" t="s">
        <v>635</v>
      </c>
      <c r="G334" s="8">
        <v>4</v>
      </c>
      <c r="H334" s="36">
        <f t="shared" si="16"/>
        <v>2.828826</v>
      </c>
      <c r="I334" s="10">
        <v>2.75</v>
      </c>
      <c r="J334" s="8">
        <v>416</v>
      </c>
      <c r="K334" s="8">
        <v>1260</v>
      </c>
    </row>
    <row r="335" ht="21" customHeight="1" spans="1:11">
      <c r="A335" s="8">
        <v>8189</v>
      </c>
      <c r="B335" s="8" t="s">
        <v>637</v>
      </c>
      <c r="C335" s="8" t="s">
        <v>42</v>
      </c>
      <c r="D335" s="13" t="s">
        <v>638</v>
      </c>
      <c r="E335" s="13" t="s">
        <v>14</v>
      </c>
      <c r="F335" s="13" t="s">
        <v>425</v>
      </c>
      <c r="G335" s="8">
        <v>4</v>
      </c>
      <c r="H335" s="36">
        <f t="shared" si="16"/>
        <v>3.085992</v>
      </c>
      <c r="I335" s="10">
        <v>3</v>
      </c>
      <c r="J335" s="8">
        <v>416</v>
      </c>
      <c r="K335" s="8">
        <v>1260</v>
      </c>
    </row>
    <row r="336" ht="21" customHeight="1" spans="1:11">
      <c r="A336" s="8">
        <v>8189</v>
      </c>
      <c r="B336" s="8" t="s">
        <v>639</v>
      </c>
      <c r="C336" s="8" t="s">
        <v>42</v>
      </c>
      <c r="D336" s="13" t="s">
        <v>638</v>
      </c>
      <c r="E336" s="13" t="s">
        <v>32</v>
      </c>
      <c r="F336" s="13" t="s">
        <v>425</v>
      </c>
      <c r="G336" s="8">
        <v>4</v>
      </c>
      <c r="H336" s="36">
        <f t="shared" si="16"/>
        <v>3.085992</v>
      </c>
      <c r="I336" s="10">
        <v>3</v>
      </c>
      <c r="J336" s="8">
        <v>416</v>
      </c>
      <c r="K336" s="8">
        <v>1260</v>
      </c>
    </row>
    <row r="337" ht="21" customHeight="1" spans="1:11">
      <c r="A337" s="8">
        <v>8189</v>
      </c>
      <c r="B337" s="8" t="s">
        <v>640</v>
      </c>
      <c r="C337" s="8" t="s">
        <v>42</v>
      </c>
      <c r="D337" s="13" t="s">
        <v>638</v>
      </c>
      <c r="E337" s="13" t="s">
        <v>641</v>
      </c>
      <c r="F337" s="13" t="s">
        <v>248</v>
      </c>
      <c r="G337" s="8">
        <v>27</v>
      </c>
      <c r="H337" s="36">
        <f t="shared" si="16"/>
        <v>0.211008</v>
      </c>
      <c r="I337" s="10">
        <v>3</v>
      </c>
      <c r="J337" s="8">
        <v>192</v>
      </c>
      <c r="K337" s="8">
        <v>1260</v>
      </c>
    </row>
    <row r="338" ht="21" customHeight="1" spans="1:11">
      <c r="A338" s="8">
        <v>8190</v>
      </c>
      <c r="B338" s="8" t="s">
        <v>642</v>
      </c>
      <c r="C338" s="8" t="s">
        <v>42</v>
      </c>
      <c r="E338" s="13" t="s">
        <v>14</v>
      </c>
      <c r="F338" s="13" t="s">
        <v>425</v>
      </c>
      <c r="G338" s="8">
        <v>4</v>
      </c>
      <c r="H338" s="36">
        <f t="shared" si="16"/>
        <v>3.085992</v>
      </c>
      <c r="I338" s="10">
        <v>3</v>
      </c>
      <c r="J338" s="8">
        <v>416</v>
      </c>
      <c r="K338" s="8">
        <v>1260</v>
      </c>
    </row>
    <row r="339" ht="21" customHeight="1" spans="1:11">
      <c r="A339" s="8">
        <v>8190</v>
      </c>
      <c r="B339" s="8" t="s">
        <v>643</v>
      </c>
      <c r="C339" s="8" t="s">
        <v>42</v>
      </c>
      <c r="E339" s="13" t="s">
        <v>32</v>
      </c>
      <c r="F339" s="13" t="s">
        <v>33</v>
      </c>
      <c r="G339" s="8">
        <v>4</v>
      </c>
      <c r="H339" s="36">
        <f t="shared" si="16"/>
        <v>2.57166</v>
      </c>
      <c r="I339" s="10">
        <v>2.5</v>
      </c>
      <c r="J339" s="8">
        <v>416</v>
      </c>
      <c r="K339" s="8">
        <v>1260</v>
      </c>
    </row>
    <row r="340" ht="21" customHeight="1" spans="1:11">
      <c r="A340" s="8">
        <v>8190</v>
      </c>
      <c r="B340" s="8" t="s">
        <v>644</v>
      </c>
      <c r="C340" s="8" t="s">
        <v>42</v>
      </c>
      <c r="E340" s="13" t="s">
        <v>645</v>
      </c>
      <c r="F340" s="13" t="s">
        <v>80</v>
      </c>
      <c r="G340" s="8">
        <v>8</v>
      </c>
      <c r="H340" s="36">
        <f t="shared" si="16"/>
        <v>0.8561896875</v>
      </c>
      <c r="I340" s="10">
        <v>2.5</v>
      </c>
      <c r="J340" s="8">
        <v>277</v>
      </c>
      <c r="K340" s="8">
        <v>1260</v>
      </c>
    </row>
    <row r="341" ht="21" customHeight="1" spans="1:11">
      <c r="A341" s="8">
        <v>8192</v>
      </c>
      <c r="B341" s="8" t="s">
        <v>646</v>
      </c>
      <c r="C341" s="8" t="s">
        <v>42</v>
      </c>
      <c r="E341" s="13" t="s">
        <v>14</v>
      </c>
      <c r="F341" s="13" t="s">
        <v>275</v>
      </c>
      <c r="G341" s="8">
        <v>2</v>
      </c>
      <c r="H341" s="36">
        <f t="shared" si="16"/>
        <v>4.114656</v>
      </c>
      <c r="I341" s="10">
        <v>4</v>
      </c>
      <c r="J341" s="8">
        <v>416</v>
      </c>
      <c r="K341" s="8">
        <v>630</v>
      </c>
    </row>
    <row r="342" ht="21" customHeight="1" spans="1:11">
      <c r="A342" s="8">
        <v>8193</v>
      </c>
      <c r="B342" s="8" t="s">
        <v>647</v>
      </c>
      <c r="C342" s="8" t="s">
        <v>42</v>
      </c>
      <c r="E342" s="13" t="s">
        <v>14</v>
      </c>
      <c r="F342" s="13" t="s">
        <v>648</v>
      </c>
      <c r="G342" s="8">
        <v>2</v>
      </c>
      <c r="H342" s="36">
        <f t="shared" si="16"/>
        <v>3.925</v>
      </c>
      <c r="I342" s="10">
        <v>4</v>
      </c>
      <c r="J342" s="8">
        <v>500</v>
      </c>
      <c r="K342" s="8">
        <v>500</v>
      </c>
    </row>
    <row r="343" ht="21" customHeight="1" spans="1:11">
      <c r="A343" s="8">
        <v>8195</v>
      </c>
      <c r="B343" s="8" t="s">
        <v>649</v>
      </c>
      <c r="C343" s="8" t="s">
        <v>42</v>
      </c>
      <c r="E343" s="13" t="s">
        <v>14</v>
      </c>
      <c r="F343" s="13" t="s">
        <v>65</v>
      </c>
      <c r="G343" s="8">
        <v>4</v>
      </c>
      <c r="H343" s="36">
        <f t="shared" si="16"/>
        <v>2.64831525</v>
      </c>
      <c r="I343" s="10">
        <v>3</v>
      </c>
      <c r="J343" s="8">
        <v>357</v>
      </c>
      <c r="K343" s="8">
        <v>1260</v>
      </c>
    </row>
    <row r="344" ht="21" customHeight="1" spans="1:11">
      <c r="A344" s="8">
        <v>8195</v>
      </c>
      <c r="B344" s="8" t="s">
        <v>650</v>
      </c>
      <c r="C344" s="8" t="s">
        <v>42</v>
      </c>
      <c r="E344" s="13" t="s">
        <v>32</v>
      </c>
      <c r="F344" s="13" t="s">
        <v>122</v>
      </c>
      <c r="G344" s="8">
        <v>4</v>
      </c>
      <c r="H344" s="36">
        <f t="shared" si="16"/>
        <v>2.206929375</v>
      </c>
      <c r="I344" s="10">
        <v>2.5</v>
      </c>
      <c r="J344" s="8">
        <v>357</v>
      </c>
      <c r="K344" s="8">
        <v>1260</v>
      </c>
    </row>
    <row r="345" ht="21" customHeight="1" spans="1:11">
      <c r="A345" s="8">
        <v>8196</v>
      </c>
      <c r="B345" s="8" t="s">
        <v>651</v>
      </c>
      <c r="C345" s="8" t="s">
        <v>42</v>
      </c>
      <c r="E345" s="13" t="s">
        <v>14</v>
      </c>
      <c r="F345" s="13" t="s">
        <v>65</v>
      </c>
      <c r="G345" s="8">
        <v>4</v>
      </c>
      <c r="H345" s="36">
        <f t="shared" si="16"/>
        <v>2.64831525</v>
      </c>
      <c r="I345" s="10">
        <v>3</v>
      </c>
      <c r="J345" s="8">
        <v>357</v>
      </c>
      <c r="K345" s="8">
        <v>1260</v>
      </c>
    </row>
    <row r="346" ht="21" customHeight="1" spans="1:11">
      <c r="A346" s="8">
        <v>8196</v>
      </c>
      <c r="B346" s="8" t="s">
        <v>652</v>
      </c>
      <c r="C346" s="8" t="s">
        <v>42</v>
      </c>
      <c r="E346" s="13" t="s">
        <v>32</v>
      </c>
      <c r="F346" s="13" t="s">
        <v>122</v>
      </c>
      <c r="G346" s="8">
        <v>4</v>
      </c>
      <c r="H346" s="36">
        <f t="shared" si="16"/>
        <v>2.206929375</v>
      </c>
      <c r="I346" s="10">
        <v>2.5</v>
      </c>
      <c r="J346" s="8">
        <v>357</v>
      </c>
      <c r="K346" s="8">
        <v>1260</v>
      </c>
    </row>
    <row r="347" ht="21" customHeight="1" spans="1:11">
      <c r="A347" s="8">
        <v>8197</v>
      </c>
      <c r="B347" s="8" t="s">
        <v>653</v>
      </c>
      <c r="C347" s="8" t="s">
        <v>42</v>
      </c>
      <c r="E347" s="13" t="s">
        <v>14</v>
      </c>
      <c r="F347" s="13" t="s">
        <v>65</v>
      </c>
      <c r="G347" s="8">
        <v>4</v>
      </c>
      <c r="H347" s="36">
        <f t="shared" si="16"/>
        <v>2.64831525</v>
      </c>
      <c r="I347" s="10">
        <v>3</v>
      </c>
      <c r="J347" s="8">
        <v>357</v>
      </c>
      <c r="K347" s="8">
        <v>1260</v>
      </c>
    </row>
    <row r="348" ht="21" customHeight="1" spans="1:11">
      <c r="A348" s="8">
        <v>8197</v>
      </c>
      <c r="B348" s="8" t="s">
        <v>654</v>
      </c>
      <c r="C348" s="8" t="s">
        <v>42</v>
      </c>
      <c r="E348" s="13" t="s">
        <v>14</v>
      </c>
      <c r="F348" s="13" t="s">
        <v>122</v>
      </c>
      <c r="G348" s="8">
        <v>4</v>
      </c>
      <c r="H348" s="36">
        <f t="shared" si="16"/>
        <v>2.206929375</v>
      </c>
      <c r="I348" s="10">
        <v>2.5</v>
      </c>
      <c r="J348" s="8">
        <v>357</v>
      </c>
      <c r="K348" s="8">
        <v>1260</v>
      </c>
    </row>
    <row r="349" ht="21" customHeight="1" spans="1:11">
      <c r="A349" s="8">
        <v>8198</v>
      </c>
      <c r="B349" s="8" t="s">
        <v>655</v>
      </c>
      <c r="C349" s="8" t="s">
        <v>42</v>
      </c>
      <c r="E349" s="13" t="s">
        <v>14</v>
      </c>
      <c r="F349" s="13" t="s">
        <v>648</v>
      </c>
      <c r="G349" s="8">
        <v>2</v>
      </c>
      <c r="H349" s="36">
        <f t="shared" si="16"/>
        <v>3.925</v>
      </c>
      <c r="I349" s="10">
        <v>4</v>
      </c>
      <c r="J349" s="8">
        <v>500</v>
      </c>
      <c r="K349" s="8">
        <v>500</v>
      </c>
    </row>
    <row r="350" ht="21" customHeight="1" spans="1:11">
      <c r="A350" s="8">
        <v>8199</v>
      </c>
      <c r="B350" s="8" t="s">
        <v>656</v>
      </c>
      <c r="C350" s="8" t="s">
        <v>42</v>
      </c>
      <c r="E350" s="13" t="s">
        <v>14</v>
      </c>
      <c r="F350" s="13" t="s">
        <v>275</v>
      </c>
      <c r="G350" s="8">
        <v>2</v>
      </c>
      <c r="H350" s="36">
        <f t="shared" si="16"/>
        <v>4.114656</v>
      </c>
      <c r="I350" s="9">
        <v>4</v>
      </c>
      <c r="J350" s="10">
        <v>416</v>
      </c>
      <c r="K350" s="8">
        <v>630</v>
      </c>
    </row>
    <row r="351" ht="21" customHeight="1" spans="1:11">
      <c r="A351" s="8">
        <v>8202</v>
      </c>
      <c r="B351" s="8" t="s">
        <v>657</v>
      </c>
      <c r="C351" s="8" t="s">
        <v>42</v>
      </c>
      <c r="D351" s="13" t="s">
        <v>658</v>
      </c>
      <c r="E351" s="13" t="s">
        <v>14</v>
      </c>
      <c r="F351" s="13" t="s">
        <v>659</v>
      </c>
      <c r="G351" s="8">
        <v>6</v>
      </c>
      <c r="H351" s="9">
        <f t="shared" si="16"/>
        <v>2.4492</v>
      </c>
      <c r="I351" s="10">
        <v>3</v>
      </c>
      <c r="J351" s="8">
        <v>416</v>
      </c>
      <c r="K351" s="8">
        <v>1500</v>
      </c>
    </row>
    <row r="352" ht="21" customHeight="1" spans="1:11">
      <c r="A352" s="8">
        <v>8202</v>
      </c>
      <c r="B352" s="8" t="s">
        <v>660</v>
      </c>
      <c r="C352" s="8" t="s">
        <v>42</v>
      </c>
      <c r="D352" s="13" t="s">
        <v>658</v>
      </c>
      <c r="E352" s="13" t="s">
        <v>32</v>
      </c>
      <c r="F352" s="13" t="s">
        <v>659</v>
      </c>
      <c r="G352" s="8">
        <v>6</v>
      </c>
      <c r="H352" s="9">
        <f t="shared" si="16"/>
        <v>2.4492</v>
      </c>
      <c r="I352" s="10">
        <v>3</v>
      </c>
      <c r="J352" s="8">
        <v>416</v>
      </c>
      <c r="K352" s="8">
        <v>1500</v>
      </c>
    </row>
    <row r="353" ht="21" customHeight="1" spans="1:259">
      <c r="A353" s="39">
        <v>8202</v>
      </c>
      <c r="B353" s="39" t="s">
        <v>661</v>
      </c>
      <c r="C353" s="39" t="s">
        <v>42</v>
      </c>
      <c r="D353" s="40" t="s">
        <v>658</v>
      </c>
      <c r="E353" s="40" t="s">
        <v>160</v>
      </c>
      <c r="F353" s="40"/>
      <c r="G353" s="39"/>
      <c r="H353" s="46"/>
      <c r="I353" s="41"/>
      <c r="J353" s="39"/>
      <c r="K353" s="39"/>
    </row>
    <row r="354" ht="21" customHeight="1" spans="1:259">
      <c r="A354" s="8">
        <v>8202</v>
      </c>
      <c r="B354" s="8" t="s">
        <v>662</v>
      </c>
      <c r="C354" s="8" t="s">
        <v>302</v>
      </c>
      <c r="D354" s="13" t="s">
        <v>658</v>
      </c>
      <c r="E354" s="13" t="s">
        <v>303</v>
      </c>
      <c r="F354" s="13" t="s">
        <v>251</v>
      </c>
      <c r="G354" s="8">
        <v>8</v>
      </c>
      <c r="H354" s="9">
        <f>J354*K354*7.85*I354/G354/1000000</f>
        <v>1.027427625</v>
      </c>
      <c r="I354" s="10">
        <v>3</v>
      </c>
      <c r="J354" s="8">
        <v>277</v>
      </c>
      <c r="K354" s="8">
        <v>1260</v>
      </c>
    </row>
    <row r="355" ht="21" customHeight="1" spans="1:259">
      <c r="A355" s="8">
        <v>8204</v>
      </c>
      <c r="B355" s="8" t="s">
        <v>663</v>
      </c>
      <c r="C355" s="8" t="s">
        <v>42</v>
      </c>
      <c r="D355" s="13" t="s">
        <v>664</v>
      </c>
      <c r="E355" s="13" t="s">
        <v>14</v>
      </c>
      <c r="F355" s="13" t="s">
        <v>659</v>
      </c>
      <c r="G355" s="8">
        <v>6</v>
      </c>
      <c r="H355" s="9">
        <f>J355*K355*7.85*I355/G355/1000000</f>
        <v>2.4492</v>
      </c>
      <c r="I355" s="10">
        <v>3</v>
      </c>
      <c r="J355" s="8">
        <v>416</v>
      </c>
      <c r="K355" s="8">
        <v>1500</v>
      </c>
    </row>
    <row r="356" ht="21" customHeight="1" spans="1:259">
      <c r="A356" s="8">
        <v>8204</v>
      </c>
      <c r="B356" s="8" t="s">
        <v>665</v>
      </c>
      <c r="C356" s="8" t="s">
        <v>42</v>
      </c>
      <c r="D356" s="13" t="s">
        <v>664</v>
      </c>
      <c r="E356" s="13" t="s">
        <v>32</v>
      </c>
      <c r="F356" s="13" t="s">
        <v>122</v>
      </c>
      <c r="G356" s="8">
        <v>6</v>
      </c>
      <c r="H356" s="9">
        <f>J356*K356*7.85*I356/G356/1000000</f>
        <v>1.47128625</v>
      </c>
      <c r="I356" s="10">
        <v>2.5</v>
      </c>
      <c r="J356" s="8">
        <v>357</v>
      </c>
      <c r="K356" s="8">
        <v>1260</v>
      </c>
    </row>
    <row r="357" ht="21" customHeight="1" spans="1:259">
      <c r="A357" s="16">
        <v>8204</v>
      </c>
      <c r="B357" s="16" t="s">
        <v>666</v>
      </c>
      <c r="C357" s="16" t="s">
        <v>302</v>
      </c>
      <c r="D357" s="15" t="s">
        <v>664</v>
      </c>
      <c r="E357" s="15" t="s">
        <v>303</v>
      </c>
      <c r="F357" s="15" t="s">
        <v>667</v>
      </c>
      <c r="G357" s="16">
        <v>27</v>
      </c>
      <c r="H357" s="37">
        <f>J357*K357*7.85*I357/G357/1000000</f>
        <v>0.27475</v>
      </c>
      <c r="I357" s="38">
        <v>3</v>
      </c>
      <c r="J357" s="16">
        <v>250</v>
      </c>
      <c r="K357" s="16">
        <v>1260</v>
      </c>
    </row>
    <row r="358" ht="21" customHeight="1" spans="1:259">
      <c r="A358" s="16">
        <v>8204</v>
      </c>
      <c r="B358" s="16" t="s">
        <v>668</v>
      </c>
      <c r="C358" s="16" t="s">
        <v>302</v>
      </c>
      <c r="D358" s="15"/>
      <c r="E358" s="15"/>
      <c r="F358" s="15"/>
      <c r="G358" s="16"/>
      <c r="H358" s="37"/>
      <c r="I358" s="38"/>
      <c r="J358" s="16"/>
      <c r="K358" s="16"/>
    </row>
    <row r="359" ht="21" customHeight="1" spans="1:259">
      <c r="A359" s="8">
        <v>8205</v>
      </c>
      <c r="B359" s="8" t="s">
        <v>669</v>
      </c>
      <c r="C359" s="8" t="s">
        <v>42</v>
      </c>
      <c r="D359" s="13" t="s">
        <v>670</v>
      </c>
      <c r="E359" s="13" t="s">
        <v>14</v>
      </c>
      <c r="F359" s="13" t="s">
        <v>425</v>
      </c>
      <c r="G359" s="8">
        <v>4</v>
      </c>
      <c r="H359" s="56">
        <f>J359*K359*7.85*I359/G359/1000000</f>
        <v>3.085992</v>
      </c>
      <c r="I359" s="10">
        <v>3</v>
      </c>
      <c r="J359" s="8">
        <v>416</v>
      </c>
      <c r="K359" s="8">
        <v>1260</v>
      </c>
    </row>
    <row r="360" s="35" customFormat="1" ht="21" customHeight="1" spans="1:259">
      <c r="A360" s="8">
        <v>8206</v>
      </c>
      <c r="B360" s="8" t="s">
        <v>671</v>
      </c>
      <c r="C360" s="8" t="s">
        <v>42</v>
      </c>
      <c r="D360" s="13" t="s">
        <v>672</v>
      </c>
      <c r="E360" s="13" t="s">
        <v>14</v>
      </c>
      <c r="F360" s="13" t="s">
        <v>425</v>
      </c>
      <c r="G360" s="8">
        <v>4</v>
      </c>
      <c r="H360" s="9">
        <f>J360*K360*7.85*I360/G360/1000000</f>
        <v>3.085992</v>
      </c>
      <c r="I360" s="10">
        <v>3</v>
      </c>
      <c r="J360" s="8">
        <v>416</v>
      </c>
      <c r="K360" s="8">
        <v>1260</v>
      </c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</row>
    <row r="361" s="35" customFormat="1" ht="21" customHeight="1" spans="1:259">
      <c r="A361" s="8">
        <v>8206</v>
      </c>
      <c r="B361" s="8" t="s">
        <v>673</v>
      </c>
      <c r="C361" s="8" t="s">
        <v>42</v>
      </c>
      <c r="D361" s="13" t="s">
        <v>672</v>
      </c>
      <c r="E361" s="13" t="s">
        <v>32</v>
      </c>
      <c r="F361" s="13" t="s">
        <v>65</v>
      </c>
      <c r="G361" s="8">
        <v>6</v>
      </c>
      <c r="H361" s="9">
        <f>J361*K361*7.85*I361/G361/1000000</f>
        <v>1.7655435</v>
      </c>
      <c r="I361" s="10">
        <v>3</v>
      </c>
      <c r="J361" s="8">
        <v>357</v>
      </c>
      <c r="K361" s="8">
        <v>1260</v>
      </c>
      <c r="L361" s="13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3"/>
      <c r="FD361" s="13"/>
      <c r="FE361" s="13"/>
      <c r="FF361" s="13"/>
      <c r="FG361" s="13"/>
      <c r="FH361" s="13"/>
      <c r="FI361" s="13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  <c r="FT361" s="13"/>
      <c r="FU361" s="13"/>
      <c r="FV361" s="13"/>
      <c r="FW361" s="13"/>
      <c r="FX361" s="13"/>
      <c r="FY361" s="13"/>
      <c r="FZ361" s="13"/>
      <c r="GA361" s="13"/>
      <c r="GB361" s="13"/>
      <c r="GC361" s="13"/>
      <c r="GD361" s="13"/>
      <c r="GE361" s="13"/>
      <c r="GF361" s="13"/>
      <c r="GG361" s="13"/>
      <c r="GH361" s="13"/>
      <c r="GI361" s="13"/>
      <c r="GJ361" s="13"/>
      <c r="GK361" s="13"/>
      <c r="GL361" s="13"/>
      <c r="GM361" s="13"/>
      <c r="GN361" s="13"/>
      <c r="GO361" s="13"/>
      <c r="GP361" s="13"/>
      <c r="GQ361" s="13"/>
      <c r="GR361" s="13"/>
      <c r="GS361" s="13"/>
      <c r="GT361" s="13"/>
      <c r="GU361" s="13"/>
      <c r="GV361" s="13"/>
      <c r="GW361" s="13"/>
      <c r="GX361" s="13"/>
      <c r="GY361" s="13"/>
      <c r="GZ361" s="13"/>
      <c r="HA361" s="13"/>
      <c r="HB361" s="13"/>
      <c r="HC361" s="13"/>
      <c r="HD361" s="13"/>
      <c r="HE361" s="13"/>
      <c r="HF361" s="13"/>
      <c r="HG361" s="13"/>
      <c r="HH361" s="13"/>
      <c r="HI361" s="13"/>
      <c r="HJ361" s="13"/>
      <c r="HK361" s="13"/>
      <c r="HL361" s="13"/>
      <c r="HM361" s="13"/>
      <c r="HN361" s="13"/>
      <c r="HO361" s="13"/>
      <c r="HP361" s="13"/>
      <c r="HQ361" s="13"/>
      <c r="HR361" s="13"/>
      <c r="HS361" s="13"/>
      <c r="HT361" s="13"/>
      <c r="HU361" s="13"/>
      <c r="HV361" s="13"/>
      <c r="HW361" s="13"/>
      <c r="HX361" s="13"/>
      <c r="HY361" s="13"/>
      <c r="HZ361" s="13"/>
      <c r="IA361" s="13"/>
      <c r="IB361" s="13"/>
      <c r="IC361" s="13"/>
      <c r="ID361" s="13"/>
      <c r="IE361" s="13"/>
      <c r="IF361" s="13"/>
      <c r="IG361" s="13"/>
      <c r="IH361" s="13"/>
      <c r="II361" s="13"/>
      <c r="IJ361" s="13"/>
      <c r="IK361" s="13"/>
      <c r="IL361" s="13"/>
      <c r="IM361" s="13"/>
      <c r="IN361" s="13"/>
      <c r="IO361" s="13"/>
      <c r="IP361" s="13"/>
      <c r="IQ361" s="13"/>
      <c r="IR361" s="13"/>
      <c r="IS361" s="13"/>
      <c r="IT361" s="13"/>
      <c r="IU361" s="13"/>
      <c r="IV361" s="13"/>
      <c r="IW361" s="13"/>
      <c r="IX361" s="13"/>
      <c r="IY361" s="13"/>
    </row>
    <row r="362" s="35" customFormat="1" ht="21" customHeight="1" spans="1:259">
      <c r="A362" s="39">
        <v>8206</v>
      </c>
      <c r="B362" s="39" t="s">
        <v>674</v>
      </c>
      <c r="C362" s="39" t="s">
        <v>42</v>
      </c>
      <c r="D362" s="40" t="s">
        <v>672</v>
      </c>
      <c r="E362" s="40" t="s">
        <v>91</v>
      </c>
      <c r="F362" s="40"/>
      <c r="G362" s="39"/>
      <c r="H362" s="46"/>
      <c r="I362" s="41"/>
      <c r="J362" s="39"/>
      <c r="K362" s="39"/>
      <c r="L362" s="13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3"/>
      <c r="FD362" s="13"/>
      <c r="FE362" s="13"/>
      <c r="FF362" s="13"/>
      <c r="FG362" s="13"/>
      <c r="FH362" s="13"/>
      <c r="FI362" s="13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  <c r="FT362" s="13"/>
      <c r="FU362" s="13"/>
      <c r="FV362" s="13"/>
      <c r="FW362" s="13"/>
      <c r="FX362" s="13"/>
      <c r="FY362" s="13"/>
      <c r="FZ362" s="13"/>
      <c r="GA362" s="13"/>
      <c r="GB362" s="13"/>
      <c r="GC362" s="13"/>
      <c r="GD362" s="13"/>
      <c r="GE362" s="13"/>
      <c r="GF362" s="13"/>
      <c r="GG362" s="13"/>
      <c r="GH362" s="13"/>
      <c r="GI362" s="13"/>
      <c r="GJ362" s="13"/>
      <c r="GK362" s="13"/>
      <c r="GL362" s="13"/>
      <c r="GM362" s="13"/>
      <c r="GN362" s="13"/>
      <c r="GO362" s="13"/>
      <c r="GP362" s="13"/>
      <c r="GQ362" s="13"/>
      <c r="GR362" s="13"/>
      <c r="GS362" s="13"/>
      <c r="GT362" s="13"/>
      <c r="GU362" s="13"/>
      <c r="GV362" s="13"/>
      <c r="GW362" s="13"/>
      <c r="GX362" s="13"/>
      <c r="GY362" s="13"/>
      <c r="GZ362" s="13"/>
      <c r="HA362" s="13"/>
      <c r="HB362" s="13"/>
      <c r="HC362" s="13"/>
      <c r="HD362" s="13"/>
      <c r="HE362" s="13"/>
      <c r="HF362" s="13"/>
      <c r="HG362" s="13"/>
      <c r="HH362" s="13"/>
      <c r="HI362" s="13"/>
      <c r="HJ362" s="13"/>
      <c r="HK362" s="13"/>
      <c r="HL362" s="13"/>
      <c r="HM362" s="13"/>
      <c r="HN362" s="13"/>
      <c r="HO362" s="13"/>
      <c r="HP362" s="13"/>
      <c r="HQ362" s="13"/>
      <c r="HR362" s="13"/>
      <c r="HS362" s="13"/>
      <c r="HT362" s="13"/>
      <c r="HU362" s="13"/>
      <c r="HV362" s="13"/>
      <c r="HW362" s="13"/>
      <c r="HX362" s="13"/>
      <c r="HY362" s="13"/>
      <c r="HZ362" s="13"/>
      <c r="IA362" s="13"/>
      <c r="IB362" s="13"/>
      <c r="IC362" s="13"/>
      <c r="ID362" s="13"/>
      <c r="IE362" s="13"/>
      <c r="IF362" s="13"/>
      <c r="IG362" s="13"/>
      <c r="IH362" s="13"/>
      <c r="II362" s="13"/>
      <c r="IJ362" s="13"/>
      <c r="IK362" s="13"/>
      <c r="IL362" s="13"/>
      <c r="IM362" s="13"/>
      <c r="IN362" s="13"/>
      <c r="IO362" s="13"/>
      <c r="IP362" s="13"/>
      <c r="IQ362" s="13"/>
      <c r="IR362" s="13"/>
      <c r="IS362" s="13"/>
      <c r="IT362" s="13"/>
      <c r="IU362" s="13"/>
      <c r="IV362" s="13"/>
      <c r="IW362" s="13"/>
      <c r="IX362" s="13"/>
      <c r="IY362" s="13"/>
    </row>
    <row r="363" ht="21" customHeight="1" spans="1:259">
      <c r="A363" s="8">
        <v>8207</v>
      </c>
      <c r="B363" s="8" t="s">
        <v>675</v>
      </c>
      <c r="C363" s="8" t="s">
        <v>42</v>
      </c>
      <c r="D363" s="13" t="s">
        <v>676</v>
      </c>
      <c r="E363" s="13" t="s">
        <v>14</v>
      </c>
      <c r="F363" s="13" t="s">
        <v>122</v>
      </c>
      <c r="G363" s="8">
        <v>4</v>
      </c>
      <c r="H363" s="56">
        <f t="shared" ref="H363:H373" si="17">J363*K363*7.85*I363/G363/1000000</f>
        <v>2.206929375</v>
      </c>
      <c r="I363" s="10">
        <v>2.5</v>
      </c>
      <c r="J363" s="8">
        <v>357</v>
      </c>
      <c r="K363" s="8">
        <v>1260</v>
      </c>
    </row>
    <row r="364" ht="21" customHeight="1" spans="1:259">
      <c r="A364" s="8">
        <v>8207</v>
      </c>
      <c r="B364" s="8" t="s">
        <v>677</v>
      </c>
      <c r="C364" s="8" t="s">
        <v>42</v>
      </c>
      <c r="D364" s="13" t="s">
        <v>676</v>
      </c>
      <c r="E364" s="13" t="s">
        <v>32</v>
      </c>
      <c r="F364" s="13" t="s">
        <v>122</v>
      </c>
      <c r="G364" s="8">
        <v>5</v>
      </c>
      <c r="H364" s="37">
        <f t="shared" si="17"/>
        <v>1.7655435</v>
      </c>
      <c r="I364" s="10">
        <v>2.5</v>
      </c>
      <c r="J364" s="8">
        <v>357</v>
      </c>
      <c r="K364" s="8">
        <v>1260</v>
      </c>
    </row>
    <row r="365" ht="21" customHeight="1" spans="1:259">
      <c r="A365" s="42" t="s">
        <v>678</v>
      </c>
      <c r="B365" s="42" t="s">
        <v>675</v>
      </c>
      <c r="C365" s="42" t="s">
        <v>42</v>
      </c>
      <c r="D365" s="43" t="s">
        <v>676</v>
      </c>
      <c r="E365" s="43" t="s">
        <v>14</v>
      </c>
      <c r="F365" s="43" t="s">
        <v>122</v>
      </c>
      <c r="G365" s="42">
        <v>4</v>
      </c>
      <c r="H365" s="57">
        <f t="shared" si="17"/>
        <v>2.206929375</v>
      </c>
      <c r="I365" s="45">
        <v>2.5</v>
      </c>
      <c r="J365" s="42">
        <v>357</v>
      </c>
      <c r="K365" s="42">
        <v>1260</v>
      </c>
    </row>
    <row r="366" ht="21" customHeight="1" spans="1:259">
      <c r="A366" s="42" t="s">
        <v>678</v>
      </c>
      <c r="B366" s="42" t="s">
        <v>677</v>
      </c>
      <c r="C366" s="42" t="s">
        <v>42</v>
      </c>
      <c r="D366" s="43" t="s">
        <v>676</v>
      </c>
      <c r="E366" s="43" t="s">
        <v>32</v>
      </c>
      <c r="F366" s="43" t="s">
        <v>122</v>
      </c>
      <c r="G366" s="42">
        <v>5</v>
      </c>
      <c r="H366" s="58">
        <f t="shared" si="17"/>
        <v>1.7655435</v>
      </c>
      <c r="I366" s="45">
        <v>2.5</v>
      </c>
      <c r="J366" s="42">
        <v>357</v>
      </c>
      <c r="K366" s="42">
        <v>1260</v>
      </c>
    </row>
    <row r="367" ht="21" customHeight="1" spans="1:259">
      <c r="A367" s="8">
        <v>8208</v>
      </c>
      <c r="B367" s="8" t="s">
        <v>679</v>
      </c>
      <c r="C367" s="8" t="s">
        <v>42</v>
      </c>
      <c r="D367" s="13" t="s">
        <v>680</v>
      </c>
      <c r="E367" s="13" t="s">
        <v>14</v>
      </c>
      <c r="F367" s="13" t="s">
        <v>122</v>
      </c>
      <c r="G367" s="8">
        <v>4</v>
      </c>
      <c r="H367" s="14">
        <f t="shared" si="17"/>
        <v>2.206929375</v>
      </c>
      <c r="I367" s="10">
        <v>2.5</v>
      </c>
      <c r="J367" s="8">
        <v>357</v>
      </c>
      <c r="K367" s="8">
        <v>1260</v>
      </c>
    </row>
    <row r="368" ht="21" customHeight="1" spans="1:259">
      <c r="A368" s="8">
        <v>8208</v>
      </c>
      <c r="B368" s="8" t="s">
        <v>681</v>
      </c>
      <c r="C368" s="8" t="s">
        <v>42</v>
      </c>
      <c r="D368" s="13" t="s">
        <v>680</v>
      </c>
      <c r="E368" s="13" t="s">
        <v>32</v>
      </c>
      <c r="F368" s="13" t="s">
        <v>122</v>
      </c>
      <c r="G368" s="8">
        <v>5</v>
      </c>
      <c r="H368" s="14">
        <f t="shared" si="17"/>
        <v>1.7655435</v>
      </c>
      <c r="I368" s="10">
        <v>2.5</v>
      </c>
      <c r="J368" s="8">
        <v>357</v>
      </c>
      <c r="K368" s="8">
        <v>1260</v>
      </c>
    </row>
    <row r="369" ht="21" customHeight="1" spans="1:11">
      <c r="A369" s="8">
        <v>8208</v>
      </c>
      <c r="B369" s="8" t="s">
        <v>682</v>
      </c>
      <c r="C369" s="8" t="s">
        <v>42</v>
      </c>
      <c r="D369" s="13" t="s">
        <v>680</v>
      </c>
      <c r="E369" s="13" t="s">
        <v>160</v>
      </c>
      <c r="F369" s="13" t="s">
        <v>324</v>
      </c>
      <c r="G369" s="8">
        <v>10</v>
      </c>
      <c r="H369" s="14">
        <f t="shared" si="17"/>
        <v>0.3521196</v>
      </c>
      <c r="I369" s="10">
        <v>2</v>
      </c>
      <c r="J369" s="8">
        <v>178</v>
      </c>
      <c r="K369" s="8">
        <v>1260</v>
      </c>
    </row>
    <row r="370" ht="21" customHeight="1" spans="1:11">
      <c r="A370" s="8">
        <v>8208</v>
      </c>
      <c r="B370" s="8" t="s">
        <v>683</v>
      </c>
      <c r="C370" s="8" t="s">
        <v>42</v>
      </c>
      <c r="D370" s="13" t="s">
        <v>680</v>
      </c>
      <c r="E370" s="13" t="s">
        <v>75</v>
      </c>
      <c r="F370" s="13" t="s">
        <v>684</v>
      </c>
      <c r="G370" s="8">
        <v>24</v>
      </c>
      <c r="H370" s="14">
        <f t="shared" si="17"/>
        <v>0.1452740625</v>
      </c>
      <c r="I370" s="10">
        <v>2.5</v>
      </c>
      <c r="J370" s="8">
        <v>141</v>
      </c>
      <c r="K370" s="8">
        <v>1260</v>
      </c>
    </row>
    <row r="371" ht="21" customHeight="1" spans="1:11">
      <c r="A371" s="8">
        <v>8208</v>
      </c>
      <c r="B371" s="8" t="s">
        <v>685</v>
      </c>
      <c r="C371" s="8" t="s">
        <v>42</v>
      </c>
      <c r="D371" s="13" t="s">
        <v>680</v>
      </c>
      <c r="E371" s="13" t="s">
        <v>75</v>
      </c>
      <c r="F371" s="13" t="s">
        <v>686</v>
      </c>
      <c r="G371" s="8">
        <v>30</v>
      </c>
      <c r="H371" s="14">
        <f t="shared" si="17"/>
        <v>0.10797675</v>
      </c>
      <c r="I371" s="10">
        <v>2.5</v>
      </c>
      <c r="J371" s="8">
        <v>131</v>
      </c>
      <c r="K371" s="8">
        <v>1260</v>
      </c>
    </row>
    <row r="372" ht="21" customHeight="1" spans="1:11">
      <c r="A372" s="8">
        <v>8209</v>
      </c>
      <c r="B372" s="8" t="s">
        <v>687</v>
      </c>
      <c r="C372" s="8" t="s">
        <v>42</v>
      </c>
      <c r="D372" s="13" t="s">
        <v>688</v>
      </c>
      <c r="E372" s="13" t="s">
        <v>14</v>
      </c>
      <c r="F372" s="13" t="s">
        <v>168</v>
      </c>
      <c r="G372" s="8">
        <v>6</v>
      </c>
      <c r="H372" s="56">
        <f t="shared" si="17"/>
        <v>2.1018375</v>
      </c>
      <c r="I372" s="10">
        <v>3</v>
      </c>
      <c r="J372" s="8">
        <v>357</v>
      </c>
      <c r="K372" s="8">
        <v>1500</v>
      </c>
    </row>
    <row r="373" ht="21" customHeight="1" spans="1:11">
      <c r="A373" s="8">
        <v>8209</v>
      </c>
      <c r="B373" s="8" t="s">
        <v>689</v>
      </c>
      <c r="C373" s="8" t="s">
        <v>42</v>
      </c>
      <c r="D373" s="13" t="s">
        <v>688</v>
      </c>
      <c r="E373" s="13" t="s">
        <v>32</v>
      </c>
      <c r="F373" s="13" t="s">
        <v>690</v>
      </c>
      <c r="G373" s="8">
        <v>8</v>
      </c>
      <c r="H373" s="56">
        <f t="shared" si="17"/>
        <v>1.83984375</v>
      </c>
      <c r="I373" s="10">
        <v>2.5</v>
      </c>
      <c r="J373" s="8">
        <v>500</v>
      </c>
      <c r="K373" s="8">
        <v>1500</v>
      </c>
    </row>
    <row r="374" ht="21" customHeight="1" spans="1:11">
      <c r="A374" s="8">
        <v>8209</v>
      </c>
      <c r="B374" s="8" t="s">
        <v>691</v>
      </c>
      <c r="C374" s="8" t="s">
        <v>42</v>
      </c>
      <c r="D374" s="13" t="s">
        <v>688</v>
      </c>
      <c r="E374" s="13" t="s">
        <v>75</v>
      </c>
      <c r="H374" s="56"/>
    </row>
    <row r="375" ht="21" customHeight="1" spans="1:11">
      <c r="A375" s="8">
        <v>8210</v>
      </c>
      <c r="B375" s="8" t="s">
        <v>692</v>
      </c>
      <c r="C375" s="8" t="s">
        <v>42</v>
      </c>
      <c r="D375" s="13" t="s">
        <v>693</v>
      </c>
      <c r="E375" s="13" t="s">
        <v>14</v>
      </c>
      <c r="F375" s="13" t="s">
        <v>168</v>
      </c>
      <c r="G375" s="8">
        <v>6</v>
      </c>
      <c r="H375" s="56">
        <f t="shared" ref="H375:H421" si="18">J375*K375*7.85*I375/G375/1000000</f>
        <v>2.1018375</v>
      </c>
      <c r="I375" s="10">
        <v>3</v>
      </c>
      <c r="J375" s="8">
        <v>357</v>
      </c>
      <c r="K375" s="8">
        <v>1500</v>
      </c>
    </row>
    <row r="376" ht="21" customHeight="1" spans="1:11">
      <c r="A376" s="8">
        <v>8210</v>
      </c>
      <c r="B376" s="8" t="s">
        <v>694</v>
      </c>
      <c r="C376" s="8" t="s">
        <v>42</v>
      </c>
      <c r="D376" s="13" t="s">
        <v>693</v>
      </c>
      <c r="E376" s="13" t="s">
        <v>32</v>
      </c>
      <c r="F376" s="13" t="s">
        <v>690</v>
      </c>
      <c r="G376" s="8">
        <v>8</v>
      </c>
      <c r="H376" s="56">
        <f t="shared" si="18"/>
        <v>1.83984375</v>
      </c>
      <c r="I376" s="10">
        <v>2.5</v>
      </c>
      <c r="J376" s="8">
        <v>500</v>
      </c>
      <c r="K376" s="8">
        <v>1500</v>
      </c>
    </row>
    <row r="377" ht="21" customHeight="1" spans="1:11">
      <c r="A377" s="8">
        <v>8211</v>
      </c>
      <c r="B377" s="8" t="s">
        <v>695</v>
      </c>
      <c r="C377" s="8" t="s">
        <v>102</v>
      </c>
      <c r="D377" s="13" t="s">
        <v>696</v>
      </c>
      <c r="E377" s="13" t="s">
        <v>14</v>
      </c>
      <c r="F377" s="13" t="s">
        <v>251</v>
      </c>
      <c r="G377" s="8">
        <v>4</v>
      </c>
      <c r="H377" s="56">
        <f t="shared" si="18"/>
        <v>2.05485525</v>
      </c>
      <c r="I377" s="10">
        <v>3</v>
      </c>
      <c r="J377" s="8">
        <v>277</v>
      </c>
      <c r="K377" s="8">
        <v>1260</v>
      </c>
    </row>
    <row r="378" ht="21" customHeight="1" spans="1:11">
      <c r="A378" s="8">
        <v>8212</v>
      </c>
      <c r="B378" s="8" t="s">
        <v>697</v>
      </c>
      <c r="C378" s="8" t="s">
        <v>42</v>
      </c>
      <c r="D378" s="13" t="s">
        <v>698</v>
      </c>
      <c r="E378" s="13" t="s">
        <v>14</v>
      </c>
      <c r="F378" s="13" t="s">
        <v>275</v>
      </c>
      <c r="G378" s="8">
        <v>2</v>
      </c>
      <c r="H378" s="56">
        <f t="shared" si="18"/>
        <v>4.114656</v>
      </c>
      <c r="I378" s="10">
        <v>4</v>
      </c>
      <c r="J378" s="8">
        <v>416</v>
      </c>
      <c r="K378" s="8">
        <v>630</v>
      </c>
    </row>
    <row r="379" ht="21" customHeight="1" spans="1:11">
      <c r="A379" s="8">
        <v>8212</v>
      </c>
      <c r="B379" s="8" t="s">
        <v>699</v>
      </c>
      <c r="C379" s="8" t="s">
        <v>42</v>
      </c>
      <c r="D379" s="13" t="s">
        <v>698</v>
      </c>
      <c r="E379" s="13" t="s">
        <v>32</v>
      </c>
      <c r="F379" s="13" t="s">
        <v>700</v>
      </c>
      <c r="G379" s="8">
        <v>28</v>
      </c>
      <c r="H379" s="56">
        <f t="shared" si="18"/>
        <v>0.13600125</v>
      </c>
      <c r="I379" s="10">
        <v>2.5</v>
      </c>
      <c r="J379" s="8">
        <v>154</v>
      </c>
      <c r="K379" s="8">
        <v>1260</v>
      </c>
    </row>
    <row r="380" ht="21" customHeight="1" spans="1:11">
      <c r="A380" s="8">
        <v>8212</v>
      </c>
      <c r="B380" s="8" t="s">
        <v>701</v>
      </c>
      <c r="C380" s="8" t="s">
        <v>42</v>
      </c>
      <c r="D380" s="13" t="s">
        <v>698</v>
      </c>
      <c r="E380" s="13" t="s">
        <v>702</v>
      </c>
      <c r="F380" s="13" t="s">
        <v>703</v>
      </c>
      <c r="G380" s="8">
        <v>13</v>
      </c>
      <c r="H380" s="56">
        <f t="shared" si="18"/>
        <v>0.330968076923077</v>
      </c>
      <c r="I380" s="10">
        <v>3</v>
      </c>
      <c r="J380" s="8">
        <v>145</v>
      </c>
      <c r="K380" s="8">
        <v>1260</v>
      </c>
    </row>
    <row r="381" ht="21" customHeight="1" spans="1:11">
      <c r="A381" s="8">
        <v>8212</v>
      </c>
      <c r="B381" s="8" t="s">
        <v>704</v>
      </c>
      <c r="C381" s="8" t="s">
        <v>42</v>
      </c>
      <c r="D381" s="13" t="s">
        <v>698</v>
      </c>
      <c r="E381" s="13" t="s">
        <v>705</v>
      </c>
      <c r="F381" s="13" t="s">
        <v>706</v>
      </c>
      <c r="G381" s="8">
        <v>20</v>
      </c>
      <c r="H381" s="56">
        <f t="shared" si="18"/>
        <v>0.102619125</v>
      </c>
      <c r="I381" s="10">
        <v>2.5</v>
      </c>
      <c r="J381" s="8">
        <v>83</v>
      </c>
      <c r="K381" s="8">
        <v>1260</v>
      </c>
    </row>
    <row r="382" ht="21" customHeight="1" spans="1:11">
      <c r="A382" s="8">
        <v>8212</v>
      </c>
      <c r="B382" s="8" t="s">
        <v>707</v>
      </c>
      <c r="C382" s="8" t="s">
        <v>42</v>
      </c>
      <c r="D382" s="13" t="s">
        <v>698</v>
      </c>
      <c r="E382" s="13" t="s">
        <v>303</v>
      </c>
      <c r="F382" s="13" t="s">
        <v>617</v>
      </c>
      <c r="G382" s="8">
        <v>14</v>
      </c>
      <c r="H382" s="56">
        <f t="shared" si="18"/>
        <v>0.29673</v>
      </c>
      <c r="I382" s="10">
        <v>3</v>
      </c>
      <c r="J382" s="8">
        <v>140</v>
      </c>
      <c r="K382" s="8">
        <v>1260</v>
      </c>
    </row>
    <row r="383" ht="21" customHeight="1" spans="1:11">
      <c r="A383" s="8">
        <v>8212</v>
      </c>
      <c r="B383" s="8" t="s">
        <v>708</v>
      </c>
      <c r="C383" s="8" t="s">
        <v>42</v>
      </c>
      <c r="D383" s="13" t="s">
        <v>698</v>
      </c>
      <c r="E383" s="13" t="s">
        <v>303</v>
      </c>
      <c r="F383" s="13" t="s">
        <v>709</v>
      </c>
      <c r="G383" s="8">
        <v>14</v>
      </c>
      <c r="H383" s="56">
        <f t="shared" si="18"/>
        <v>0.261405</v>
      </c>
      <c r="I383" s="10">
        <v>2</v>
      </c>
      <c r="J383" s="8">
        <v>185</v>
      </c>
      <c r="K383" s="8">
        <v>1260</v>
      </c>
    </row>
    <row r="384" ht="21" customHeight="1" spans="1:11">
      <c r="A384" s="8">
        <v>8212</v>
      </c>
      <c r="B384" s="8" t="s">
        <v>710</v>
      </c>
      <c r="C384" s="8" t="s">
        <v>42</v>
      </c>
      <c r="D384" s="13" t="s">
        <v>698</v>
      </c>
      <c r="E384" s="13" t="s">
        <v>303</v>
      </c>
      <c r="F384" s="13" t="s">
        <v>711</v>
      </c>
      <c r="G384" s="8">
        <v>15</v>
      </c>
      <c r="H384" s="56">
        <f t="shared" si="18"/>
        <v>0.2136456</v>
      </c>
      <c r="I384" s="10">
        <v>2</v>
      </c>
      <c r="J384" s="8">
        <v>162</v>
      </c>
      <c r="K384" s="8">
        <v>1260</v>
      </c>
    </row>
    <row r="385" ht="21" customHeight="1" spans="1:12">
      <c r="A385" s="52" t="s">
        <v>712</v>
      </c>
      <c r="B385" s="52" t="s">
        <v>697</v>
      </c>
      <c r="C385" s="52" t="s">
        <v>42</v>
      </c>
      <c r="D385" s="53" t="s">
        <v>698</v>
      </c>
      <c r="E385" s="53" t="s">
        <v>14</v>
      </c>
      <c r="F385" s="53" t="s">
        <v>275</v>
      </c>
      <c r="G385" s="52">
        <v>2</v>
      </c>
      <c r="H385" s="57">
        <f t="shared" si="18"/>
        <v>4.114656</v>
      </c>
      <c r="I385" s="45">
        <v>4</v>
      </c>
      <c r="J385" s="42">
        <v>416</v>
      </c>
      <c r="K385" s="42">
        <v>630</v>
      </c>
      <c r="L385" s="54"/>
    </row>
    <row r="386" ht="21" customHeight="1" spans="1:12">
      <c r="A386" s="52" t="s">
        <v>712</v>
      </c>
      <c r="B386" s="52" t="s">
        <v>699</v>
      </c>
      <c r="C386" s="52" t="s">
        <v>42</v>
      </c>
      <c r="D386" s="53" t="s">
        <v>698</v>
      </c>
      <c r="E386" s="53" t="s">
        <v>32</v>
      </c>
      <c r="F386" s="53" t="s">
        <v>700</v>
      </c>
      <c r="G386" s="52">
        <v>25</v>
      </c>
      <c r="H386" s="57">
        <f t="shared" si="18"/>
        <v>0.1760598</v>
      </c>
      <c r="I386" s="45">
        <v>2.5</v>
      </c>
      <c r="J386" s="42">
        <v>178</v>
      </c>
      <c r="K386" s="42">
        <v>1260</v>
      </c>
      <c r="L386" s="54"/>
    </row>
    <row r="387" ht="21" customHeight="1" spans="1:12">
      <c r="A387" s="52" t="s">
        <v>712</v>
      </c>
      <c r="B387" s="52" t="s">
        <v>701</v>
      </c>
      <c r="C387" s="52" t="s">
        <v>42</v>
      </c>
      <c r="D387" s="53" t="s">
        <v>698</v>
      </c>
      <c r="E387" s="53" t="s">
        <v>702</v>
      </c>
      <c r="F387" s="53" t="s">
        <v>703</v>
      </c>
      <c r="G387" s="52">
        <v>10</v>
      </c>
      <c r="H387" s="57">
        <f t="shared" si="18"/>
        <v>0.4302585</v>
      </c>
      <c r="I387" s="45">
        <v>3</v>
      </c>
      <c r="J387" s="42">
        <v>145</v>
      </c>
      <c r="K387" s="42">
        <v>1260</v>
      </c>
      <c r="L387" s="54"/>
    </row>
    <row r="388" ht="21" customHeight="1" spans="1:12">
      <c r="A388" s="52" t="s">
        <v>712</v>
      </c>
      <c r="B388" s="52" t="s">
        <v>707</v>
      </c>
      <c r="C388" s="52" t="s">
        <v>42</v>
      </c>
      <c r="D388" s="53" t="s">
        <v>698</v>
      </c>
      <c r="E388" s="53" t="s">
        <v>303</v>
      </c>
      <c r="F388" s="53" t="s">
        <v>617</v>
      </c>
      <c r="G388" s="52">
        <v>11</v>
      </c>
      <c r="H388" s="57">
        <f t="shared" si="18"/>
        <v>0.391144090909091</v>
      </c>
      <c r="I388" s="45">
        <v>3</v>
      </c>
      <c r="J388" s="42">
        <v>145</v>
      </c>
      <c r="K388" s="42">
        <v>1260</v>
      </c>
      <c r="L388" s="54"/>
    </row>
    <row r="389" ht="21" customHeight="1" spans="1:12">
      <c r="A389" s="52" t="s">
        <v>712</v>
      </c>
      <c r="B389" s="52" t="s">
        <v>708</v>
      </c>
      <c r="C389" s="52" t="s">
        <v>42</v>
      </c>
      <c r="D389" s="53" t="s">
        <v>698</v>
      </c>
      <c r="E389" s="53" t="s">
        <v>303</v>
      </c>
      <c r="F389" s="53" t="s">
        <v>709</v>
      </c>
      <c r="G389" s="52">
        <v>11</v>
      </c>
      <c r="H389" s="57">
        <f t="shared" si="18"/>
        <v>0.332697272727273</v>
      </c>
      <c r="I389" s="45">
        <v>2</v>
      </c>
      <c r="J389" s="42">
        <v>185</v>
      </c>
      <c r="K389" s="42">
        <v>1260</v>
      </c>
      <c r="L389" s="54"/>
    </row>
    <row r="390" ht="21" customHeight="1" spans="1:12">
      <c r="A390" s="52" t="s">
        <v>712</v>
      </c>
      <c r="B390" s="52" t="s">
        <v>710</v>
      </c>
      <c r="C390" s="52" t="s">
        <v>42</v>
      </c>
      <c r="D390" s="53" t="s">
        <v>698</v>
      </c>
      <c r="E390" s="53" t="s">
        <v>303</v>
      </c>
      <c r="F390" s="53" t="s">
        <v>711</v>
      </c>
      <c r="G390" s="52">
        <v>12</v>
      </c>
      <c r="H390" s="57">
        <f t="shared" si="18"/>
        <v>0.3049725</v>
      </c>
      <c r="I390" s="45">
        <v>2</v>
      </c>
      <c r="J390" s="42">
        <v>185</v>
      </c>
      <c r="K390" s="42">
        <v>1260</v>
      </c>
      <c r="L390" s="54"/>
    </row>
    <row r="391" ht="21" customHeight="1" spans="1:12">
      <c r="A391" s="8">
        <v>8213</v>
      </c>
      <c r="B391" s="8" t="s">
        <v>713</v>
      </c>
      <c r="C391" s="4" t="s">
        <v>42</v>
      </c>
      <c r="D391" s="13" t="s">
        <v>714</v>
      </c>
      <c r="E391" s="13" t="s">
        <v>14</v>
      </c>
      <c r="F391" s="13" t="s">
        <v>122</v>
      </c>
      <c r="G391" s="8">
        <v>4</v>
      </c>
      <c r="H391" s="56">
        <f t="shared" si="18"/>
        <v>2.206929375</v>
      </c>
      <c r="I391" s="10">
        <v>2.5</v>
      </c>
      <c r="J391" s="8">
        <v>357</v>
      </c>
      <c r="K391" s="8">
        <v>1260</v>
      </c>
    </row>
    <row r="392" ht="21" customHeight="1" spans="1:12">
      <c r="A392" s="8">
        <v>8213</v>
      </c>
      <c r="B392" s="8" t="s">
        <v>715</v>
      </c>
      <c r="C392" s="4" t="s">
        <v>42</v>
      </c>
      <c r="D392" s="13" t="s">
        <v>714</v>
      </c>
      <c r="E392" s="13" t="s">
        <v>32</v>
      </c>
      <c r="F392" s="13" t="s">
        <v>307</v>
      </c>
      <c r="G392" s="8">
        <v>4</v>
      </c>
      <c r="H392" s="56">
        <f t="shared" si="18"/>
        <v>2.314494</v>
      </c>
      <c r="I392" s="10">
        <v>3</v>
      </c>
      <c r="J392" s="8">
        <v>312</v>
      </c>
      <c r="K392" s="8">
        <v>1260</v>
      </c>
    </row>
    <row r="393" ht="21" customHeight="1" spans="1:12">
      <c r="A393" s="8">
        <v>8213</v>
      </c>
      <c r="B393" s="8" t="s">
        <v>716</v>
      </c>
      <c r="C393" s="4" t="s">
        <v>42</v>
      </c>
      <c r="D393" s="13" t="s">
        <v>714</v>
      </c>
      <c r="E393" s="13" t="s">
        <v>641</v>
      </c>
      <c r="F393" s="54" t="s">
        <v>324</v>
      </c>
      <c r="G393" s="8">
        <v>26</v>
      </c>
      <c r="H393" s="56">
        <f t="shared" si="18"/>
        <v>0.135430615384615</v>
      </c>
      <c r="I393" s="10">
        <v>2</v>
      </c>
      <c r="J393" s="8">
        <v>178</v>
      </c>
      <c r="K393" s="8">
        <v>1260</v>
      </c>
    </row>
    <row r="394" ht="21" customHeight="1" spans="1:12">
      <c r="A394" s="8">
        <v>8213</v>
      </c>
      <c r="B394" s="8" t="s">
        <v>717</v>
      </c>
      <c r="C394" s="4" t="s">
        <v>42</v>
      </c>
      <c r="D394" s="13" t="s">
        <v>714</v>
      </c>
      <c r="E394" s="13" t="s">
        <v>718</v>
      </c>
      <c r="F394" s="54" t="s">
        <v>719</v>
      </c>
      <c r="G394" s="8">
        <v>36</v>
      </c>
      <c r="H394" s="56">
        <f t="shared" si="18"/>
        <v>0.089019</v>
      </c>
      <c r="I394" s="10">
        <v>3</v>
      </c>
      <c r="J394" s="8">
        <v>108</v>
      </c>
      <c r="K394" s="8">
        <v>1260</v>
      </c>
    </row>
    <row r="395" ht="21" customHeight="1" spans="1:12">
      <c r="A395" s="8">
        <v>8213</v>
      </c>
      <c r="B395" s="8" t="s">
        <v>720</v>
      </c>
      <c r="C395" s="4" t="s">
        <v>42</v>
      </c>
      <c r="D395" s="13" t="s">
        <v>714</v>
      </c>
      <c r="E395" s="13" t="s">
        <v>721</v>
      </c>
      <c r="F395" s="54" t="s">
        <v>722</v>
      </c>
      <c r="G395" s="8">
        <v>12</v>
      </c>
      <c r="H395" s="56">
        <f t="shared" si="18"/>
        <v>0.118692</v>
      </c>
      <c r="I395" s="10">
        <v>1.5</v>
      </c>
      <c r="J395" s="8">
        <v>96</v>
      </c>
      <c r="K395" s="8">
        <v>1260</v>
      </c>
    </row>
    <row r="396" ht="21" customHeight="1" spans="1:12">
      <c r="A396" s="8">
        <v>8220</v>
      </c>
      <c r="B396" s="8" t="s">
        <v>723</v>
      </c>
      <c r="C396" s="8" t="s">
        <v>42</v>
      </c>
      <c r="D396" s="8" t="s">
        <v>724</v>
      </c>
      <c r="E396" s="8" t="s">
        <v>14</v>
      </c>
      <c r="F396" s="13" t="s">
        <v>69</v>
      </c>
      <c r="G396" s="8">
        <v>2</v>
      </c>
      <c r="H396" s="56">
        <f t="shared" si="18"/>
        <v>2.8574</v>
      </c>
      <c r="I396" s="10">
        <v>3.5</v>
      </c>
      <c r="J396" s="8">
        <v>416</v>
      </c>
      <c r="K396" s="8">
        <v>500</v>
      </c>
      <c r="L396" s="1"/>
    </row>
    <row r="397" ht="21" customHeight="1" spans="1:12">
      <c r="A397" s="4">
        <v>8221</v>
      </c>
      <c r="B397" s="4" t="s">
        <v>725</v>
      </c>
      <c r="C397" s="4" t="s">
        <v>42</v>
      </c>
      <c r="D397" s="4"/>
      <c r="E397" s="4" t="s">
        <v>14</v>
      </c>
      <c r="F397" s="54" t="s">
        <v>726</v>
      </c>
      <c r="G397" s="4">
        <v>6</v>
      </c>
      <c r="H397" s="59">
        <f t="shared" si="18"/>
        <v>3.2887575</v>
      </c>
      <c r="I397" s="60">
        <v>3.5</v>
      </c>
      <c r="J397" s="4">
        <v>570</v>
      </c>
      <c r="K397" s="4">
        <v>1260</v>
      </c>
      <c r="L397" s="1"/>
    </row>
    <row r="398" ht="21" customHeight="1" spans="1:12">
      <c r="A398" s="4">
        <v>8221</v>
      </c>
      <c r="B398" s="4" t="s">
        <v>727</v>
      </c>
      <c r="C398" s="4" t="s">
        <v>42</v>
      </c>
      <c r="D398" s="4"/>
      <c r="E398" s="4" t="s">
        <v>32</v>
      </c>
      <c r="F398" s="54" t="s">
        <v>536</v>
      </c>
      <c r="G398" s="4">
        <v>11</v>
      </c>
      <c r="H398" s="59">
        <f t="shared" si="18"/>
        <v>1.15994454545455</v>
      </c>
      <c r="I398" s="60">
        <v>3</v>
      </c>
      <c r="J398" s="4">
        <v>430</v>
      </c>
      <c r="K398" s="4">
        <v>1260</v>
      </c>
      <c r="L398" s="1"/>
    </row>
    <row r="399" ht="21" customHeight="1" spans="1:12">
      <c r="A399" s="4">
        <v>8221</v>
      </c>
      <c r="B399" s="4" t="s">
        <v>728</v>
      </c>
      <c r="C399" s="4" t="s">
        <v>42</v>
      </c>
      <c r="D399" s="4"/>
      <c r="E399" s="4" t="s">
        <v>604</v>
      </c>
      <c r="F399" s="54" t="s">
        <v>614</v>
      </c>
      <c r="G399" s="4">
        <v>9</v>
      </c>
      <c r="H399" s="59">
        <f t="shared" si="18"/>
        <v>0.600054</v>
      </c>
      <c r="I399" s="60">
        <v>3.5</v>
      </c>
      <c r="J399" s="4">
        <v>156</v>
      </c>
      <c r="K399" s="4">
        <v>1260</v>
      </c>
      <c r="L399" s="1"/>
    </row>
    <row r="400" ht="21" customHeight="1" spans="1:12">
      <c r="A400" s="4">
        <v>8221</v>
      </c>
      <c r="B400" s="4" t="s">
        <v>729</v>
      </c>
      <c r="C400" s="4" t="s">
        <v>42</v>
      </c>
      <c r="D400" s="4"/>
      <c r="E400" s="4" t="s">
        <v>601</v>
      </c>
      <c r="F400" s="54" t="s">
        <v>617</v>
      </c>
      <c r="G400" s="4">
        <v>28</v>
      </c>
      <c r="H400" s="59">
        <f t="shared" si="18"/>
        <v>0.147128625</v>
      </c>
      <c r="I400" s="60">
        <v>3.5</v>
      </c>
      <c r="J400" s="4">
        <v>119</v>
      </c>
      <c r="K400" s="4">
        <v>1260</v>
      </c>
      <c r="L400" s="1"/>
    </row>
    <row r="401" ht="21" customHeight="1" spans="1:11">
      <c r="A401" s="8">
        <v>8223</v>
      </c>
      <c r="B401" s="8" t="s">
        <v>730</v>
      </c>
      <c r="C401" s="8" t="s">
        <v>42</v>
      </c>
      <c r="D401" s="13" t="s">
        <v>731</v>
      </c>
      <c r="E401" s="13" t="s">
        <v>14</v>
      </c>
      <c r="F401" s="13" t="s">
        <v>44</v>
      </c>
      <c r="G401" s="8">
        <v>4</v>
      </c>
      <c r="H401" s="56">
        <f t="shared" si="18"/>
        <v>4.3273125</v>
      </c>
      <c r="I401" s="10">
        <v>3.5</v>
      </c>
      <c r="J401" s="8">
        <v>500</v>
      </c>
      <c r="K401" s="8">
        <v>1260</v>
      </c>
    </row>
    <row r="402" ht="21" customHeight="1" spans="1:11">
      <c r="A402" s="8">
        <v>8223</v>
      </c>
      <c r="B402" s="8" t="s">
        <v>732</v>
      </c>
      <c r="C402" s="8" t="s">
        <v>42</v>
      </c>
      <c r="D402" s="13" t="s">
        <v>731</v>
      </c>
      <c r="E402" s="13" t="s">
        <v>32</v>
      </c>
      <c r="F402" s="13" t="s">
        <v>340</v>
      </c>
      <c r="G402" s="8">
        <v>10</v>
      </c>
      <c r="H402" s="56">
        <f t="shared" si="18"/>
        <v>0.49455</v>
      </c>
      <c r="I402" s="10">
        <v>2.5</v>
      </c>
      <c r="J402" s="8">
        <v>200</v>
      </c>
      <c r="K402" s="8">
        <v>1260</v>
      </c>
    </row>
    <row r="403" ht="21" customHeight="1" spans="1:11">
      <c r="A403" s="8">
        <v>8224</v>
      </c>
      <c r="B403" s="8" t="s">
        <v>730</v>
      </c>
      <c r="C403" s="8" t="s">
        <v>42</v>
      </c>
      <c r="D403" s="13" t="s">
        <v>733</v>
      </c>
      <c r="E403" s="13" t="s">
        <v>14</v>
      </c>
      <c r="F403" s="13" t="s">
        <v>44</v>
      </c>
      <c r="G403" s="8">
        <v>4</v>
      </c>
      <c r="H403" s="56">
        <f t="shared" si="18"/>
        <v>4.3273125</v>
      </c>
      <c r="I403" s="10">
        <v>3.5</v>
      </c>
      <c r="J403" s="8">
        <v>500</v>
      </c>
      <c r="K403" s="8">
        <v>1260</v>
      </c>
    </row>
    <row r="404" ht="21" customHeight="1" spans="1:11">
      <c r="A404" s="8">
        <v>8224</v>
      </c>
      <c r="B404" s="8" t="s">
        <v>732</v>
      </c>
      <c r="C404" s="8" t="s">
        <v>42</v>
      </c>
      <c r="D404" s="13" t="s">
        <v>733</v>
      </c>
      <c r="E404" s="13" t="s">
        <v>32</v>
      </c>
      <c r="F404" s="13" t="s">
        <v>340</v>
      </c>
      <c r="G404" s="8">
        <v>10</v>
      </c>
      <c r="H404" s="56">
        <f t="shared" si="18"/>
        <v>0.56131425</v>
      </c>
      <c r="I404" s="10">
        <v>2.5</v>
      </c>
      <c r="J404" s="8">
        <v>227</v>
      </c>
      <c r="K404" s="8">
        <v>1260</v>
      </c>
    </row>
    <row r="405" ht="21" customHeight="1" spans="1:11">
      <c r="A405" s="8">
        <v>8224</v>
      </c>
      <c r="B405" s="8" t="s">
        <v>734</v>
      </c>
      <c r="C405" s="8" t="s">
        <v>42</v>
      </c>
      <c r="D405" s="13" t="s">
        <v>733</v>
      </c>
      <c r="E405" s="13" t="s">
        <v>91</v>
      </c>
      <c r="F405" s="13" t="s">
        <v>735</v>
      </c>
      <c r="G405" s="8">
        <v>41</v>
      </c>
      <c r="H405" s="56">
        <f t="shared" si="18"/>
        <v>0.0904664634146341</v>
      </c>
      <c r="I405" s="8">
        <v>3</v>
      </c>
      <c r="J405" s="8">
        <v>125</v>
      </c>
      <c r="K405" s="8">
        <v>1260</v>
      </c>
    </row>
    <row r="406" ht="21" customHeight="1" spans="1:11">
      <c r="A406" s="42" t="s">
        <v>736</v>
      </c>
      <c r="B406" s="42" t="s">
        <v>730</v>
      </c>
      <c r="C406" s="42" t="s">
        <v>42</v>
      </c>
      <c r="D406" s="43" t="s">
        <v>733</v>
      </c>
      <c r="E406" s="43" t="s">
        <v>14</v>
      </c>
      <c r="F406" s="43" t="s">
        <v>334</v>
      </c>
      <c r="G406" s="42">
        <v>2</v>
      </c>
      <c r="H406" s="57">
        <f t="shared" si="18"/>
        <v>4.3273125</v>
      </c>
      <c r="I406" s="45">
        <v>3.5</v>
      </c>
      <c r="J406" s="42">
        <v>500</v>
      </c>
      <c r="K406" s="42">
        <v>630</v>
      </c>
    </row>
    <row r="407" ht="21" customHeight="1" spans="1:11">
      <c r="A407" s="42" t="s">
        <v>736</v>
      </c>
      <c r="B407" s="42" t="s">
        <v>732</v>
      </c>
      <c r="C407" s="42" t="s">
        <v>42</v>
      </c>
      <c r="D407" s="43" t="s">
        <v>733</v>
      </c>
      <c r="E407" s="43" t="s">
        <v>32</v>
      </c>
      <c r="F407" s="43" t="s">
        <v>340</v>
      </c>
      <c r="G407" s="42">
        <v>10</v>
      </c>
      <c r="H407" s="57">
        <f t="shared" si="18"/>
        <v>0.56131425</v>
      </c>
      <c r="I407" s="45">
        <v>2.5</v>
      </c>
      <c r="J407" s="42">
        <v>227</v>
      </c>
      <c r="K407" s="42">
        <v>1260</v>
      </c>
    </row>
    <row r="408" ht="21" customHeight="1" spans="1:11">
      <c r="A408" s="42" t="s">
        <v>736</v>
      </c>
      <c r="B408" s="42" t="s">
        <v>734</v>
      </c>
      <c r="C408" s="42" t="s">
        <v>42</v>
      </c>
      <c r="D408" s="43" t="s">
        <v>733</v>
      </c>
      <c r="E408" s="43" t="s">
        <v>91</v>
      </c>
      <c r="F408" s="43" t="s">
        <v>735</v>
      </c>
      <c r="G408" s="61">
        <v>41</v>
      </c>
      <c r="H408" s="57">
        <f t="shared" si="18"/>
        <v>0.0904664634146341</v>
      </c>
      <c r="I408" s="42">
        <v>3</v>
      </c>
      <c r="J408" s="42">
        <v>125</v>
      </c>
      <c r="K408" s="42">
        <v>1260</v>
      </c>
    </row>
    <row r="409" ht="21" customHeight="1" spans="1:11">
      <c r="A409" s="8">
        <v>8225</v>
      </c>
      <c r="B409" s="8" t="s">
        <v>737</v>
      </c>
      <c r="C409" s="8" t="s">
        <v>42</v>
      </c>
      <c r="D409" s="13" t="s">
        <v>738</v>
      </c>
      <c r="E409" s="13" t="s">
        <v>14</v>
      </c>
      <c r="F409" s="13" t="s">
        <v>30</v>
      </c>
      <c r="G409" s="8">
        <v>4</v>
      </c>
      <c r="H409" s="56">
        <f t="shared" si="18"/>
        <v>3.600324</v>
      </c>
      <c r="I409" s="10">
        <v>3.5</v>
      </c>
      <c r="J409" s="8">
        <v>416</v>
      </c>
      <c r="K409" s="8">
        <v>1260</v>
      </c>
    </row>
    <row r="410" ht="21" customHeight="1" spans="1:11">
      <c r="A410" s="8">
        <v>8226</v>
      </c>
      <c r="B410" s="8" t="s">
        <v>739</v>
      </c>
      <c r="C410" s="8" t="s">
        <v>42</v>
      </c>
      <c r="D410" s="13" t="s">
        <v>740</v>
      </c>
      <c r="E410" s="13" t="s">
        <v>14</v>
      </c>
      <c r="F410" s="13" t="s">
        <v>741</v>
      </c>
      <c r="G410" s="8">
        <v>4</v>
      </c>
      <c r="H410" s="56">
        <f t="shared" si="18"/>
        <v>3.600324</v>
      </c>
      <c r="I410" s="10">
        <v>3.5</v>
      </c>
      <c r="J410" s="8">
        <v>416</v>
      </c>
      <c r="K410" s="8">
        <v>1260</v>
      </c>
    </row>
    <row r="411" ht="21" customHeight="1" spans="1:11">
      <c r="A411" s="8">
        <v>8226</v>
      </c>
      <c r="B411" s="8" t="s">
        <v>742</v>
      </c>
      <c r="C411" s="8" t="s">
        <v>42</v>
      </c>
      <c r="D411" s="13" t="s">
        <v>740</v>
      </c>
      <c r="E411" s="13" t="s">
        <v>32</v>
      </c>
      <c r="F411" s="13" t="s">
        <v>743</v>
      </c>
      <c r="G411" s="8">
        <v>12</v>
      </c>
      <c r="H411" s="56">
        <f t="shared" si="18"/>
        <v>0.735643125</v>
      </c>
      <c r="I411" s="10">
        <v>2.5</v>
      </c>
      <c r="J411" s="8">
        <v>357</v>
      </c>
      <c r="K411" s="8">
        <v>1260</v>
      </c>
    </row>
    <row r="412" ht="20.25" customHeight="1" spans="1:11">
      <c r="A412" s="8">
        <v>8227</v>
      </c>
      <c r="B412" s="8" t="s">
        <v>744</v>
      </c>
      <c r="C412" s="8" t="s">
        <v>42</v>
      </c>
      <c r="D412" s="13" t="s">
        <v>745</v>
      </c>
      <c r="E412" s="13" t="s">
        <v>14</v>
      </c>
      <c r="F412" s="13" t="s">
        <v>199</v>
      </c>
      <c r="G412" s="8">
        <v>2</v>
      </c>
      <c r="H412" s="56">
        <f t="shared" si="18"/>
        <v>4.9455</v>
      </c>
      <c r="I412" s="10">
        <v>4</v>
      </c>
      <c r="J412" s="8">
        <v>500</v>
      </c>
      <c r="K412" s="8">
        <v>630</v>
      </c>
    </row>
    <row r="413" ht="21" customHeight="1" spans="1:11">
      <c r="A413" s="8">
        <v>8228</v>
      </c>
      <c r="B413" s="8" t="s">
        <v>746</v>
      </c>
      <c r="C413" s="8" t="s">
        <v>42</v>
      </c>
      <c r="D413" s="13" t="s">
        <v>747</v>
      </c>
      <c r="E413" s="13" t="s">
        <v>14</v>
      </c>
      <c r="F413" s="13" t="s">
        <v>65</v>
      </c>
      <c r="G413" s="8">
        <v>4</v>
      </c>
      <c r="H413" s="56">
        <f t="shared" si="18"/>
        <v>2.64831525</v>
      </c>
      <c r="I413" s="10">
        <v>3</v>
      </c>
      <c r="J413" s="8">
        <v>357</v>
      </c>
      <c r="K413" s="8">
        <v>1260</v>
      </c>
    </row>
    <row r="414" ht="21" customHeight="1" spans="1:11">
      <c r="A414" s="8">
        <v>8228</v>
      </c>
      <c r="B414" s="8" t="s">
        <v>748</v>
      </c>
      <c r="C414" s="8" t="s">
        <v>42</v>
      </c>
      <c r="D414" s="13" t="s">
        <v>747</v>
      </c>
      <c r="E414" s="13" t="s">
        <v>32</v>
      </c>
      <c r="F414" s="13" t="s">
        <v>65</v>
      </c>
      <c r="G414" s="8">
        <v>4</v>
      </c>
      <c r="H414" s="56">
        <f t="shared" si="18"/>
        <v>2.64831525</v>
      </c>
      <c r="I414" s="10">
        <v>3</v>
      </c>
      <c r="J414" s="8">
        <v>357</v>
      </c>
      <c r="K414" s="8">
        <v>1260</v>
      </c>
    </row>
    <row r="415" ht="21" customHeight="1" spans="1:11">
      <c r="A415" s="8">
        <v>8228</v>
      </c>
      <c r="B415" s="8" t="s">
        <v>749</v>
      </c>
      <c r="C415" s="8" t="s">
        <v>42</v>
      </c>
      <c r="D415" s="13" t="s">
        <v>747</v>
      </c>
      <c r="E415" s="13" t="s">
        <v>160</v>
      </c>
      <c r="F415" s="13" t="s">
        <v>85</v>
      </c>
      <c r="G415" s="8">
        <v>9</v>
      </c>
      <c r="H415" s="56">
        <f t="shared" si="18"/>
        <v>0.784686</v>
      </c>
      <c r="I415" s="10">
        <v>2</v>
      </c>
      <c r="J415" s="8">
        <v>357</v>
      </c>
      <c r="K415" s="8">
        <v>1260</v>
      </c>
    </row>
    <row r="416" ht="21" customHeight="1" spans="1:11">
      <c r="A416" s="8">
        <v>8228</v>
      </c>
      <c r="B416" s="8" t="s">
        <v>750</v>
      </c>
      <c r="C416" s="8" t="s">
        <v>42</v>
      </c>
      <c r="D416" s="13" t="s">
        <v>747</v>
      </c>
      <c r="E416" s="13" t="s">
        <v>751</v>
      </c>
      <c r="H416" s="56"/>
    </row>
    <row r="417" ht="21" customHeight="1" spans="1:11">
      <c r="A417" s="8">
        <v>8229</v>
      </c>
      <c r="B417" s="8" t="s">
        <v>752</v>
      </c>
      <c r="C417" s="8" t="s">
        <v>42</v>
      </c>
      <c r="D417" s="13" t="s">
        <v>753</v>
      </c>
      <c r="E417" s="13" t="s">
        <v>14</v>
      </c>
      <c r="G417" s="8">
        <v>4</v>
      </c>
      <c r="H417" s="56">
        <f t="shared" si="18"/>
        <v>2.206929375</v>
      </c>
      <c r="I417" s="10">
        <v>2.5</v>
      </c>
      <c r="J417" s="8">
        <v>357</v>
      </c>
      <c r="K417" s="8">
        <v>1260</v>
      </c>
    </row>
    <row r="418" ht="21" customHeight="1" spans="1:11">
      <c r="A418" s="8">
        <v>8229</v>
      </c>
      <c r="B418" s="8" t="s">
        <v>754</v>
      </c>
      <c r="C418" s="8" t="s">
        <v>42</v>
      </c>
      <c r="D418" s="13" t="s">
        <v>753</v>
      </c>
      <c r="E418" s="13" t="s">
        <v>32</v>
      </c>
      <c r="G418" s="8">
        <v>8</v>
      </c>
      <c r="H418" s="56">
        <f t="shared" si="18"/>
        <v>0.31403925</v>
      </c>
      <c r="I418" s="10">
        <v>2</v>
      </c>
      <c r="J418" s="8">
        <v>127</v>
      </c>
      <c r="K418" s="8">
        <v>1260</v>
      </c>
    </row>
    <row r="419" ht="21" customHeight="1" spans="1:11">
      <c r="A419" s="8">
        <v>8229</v>
      </c>
      <c r="B419" s="8" t="s">
        <v>755</v>
      </c>
      <c r="C419" s="8" t="s">
        <v>42</v>
      </c>
      <c r="D419" s="13" t="s">
        <v>753</v>
      </c>
      <c r="E419" s="13" t="s">
        <v>91</v>
      </c>
      <c r="G419" s="8">
        <v>82</v>
      </c>
      <c r="H419" s="56">
        <f t="shared" si="18"/>
        <v>0.0376943597560976</v>
      </c>
      <c r="I419" s="10">
        <v>2.5</v>
      </c>
      <c r="J419" s="8">
        <v>125</v>
      </c>
      <c r="K419" s="8">
        <v>1260</v>
      </c>
    </row>
    <row r="420" ht="21" customHeight="1" spans="1:11">
      <c r="A420" s="8">
        <v>8230</v>
      </c>
      <c r="B420" s="8" t="s">
        <v>756</v>
      </c>
      <c r="C420" s="8" t="s">
        <v>42</v>
      </c>
      <c r="D420" s="13" t="s">
        <v>757</v>
      </c>
      <c r="E420" s="13" t="s">
        <v>14</v>
      </c>
      <c r="F420" s="13" t="s">
        <v>65</v>
      </c>
      <c r="G420" s="8">
        <v>4</v>
      </c>
      <c r="H420" s="56">
        <f t="shared" si="18"/>
        <v>2.64831525</v>
      </c>
      <c r="I420" s="10">
        <v>3</v>
      </c>
      <c r="J420" s="8">
        <v>357</v>
      </c>
      <c r="K420" s="8">
        <v>1260</v>
      </c>
    </row>
    <row r="421" ht="21" customHeight="1" spans="1:11">
      <c r="A421" s="8">
        <v>8230</v>
      </c>
      <c r="B421" s="8" t="s">
        <v>758</v>
      </c>
      <c r="C421" s="8" t="s">
        <v>42</v>
      </c>
      <c r="D421" s="13" t="s">
        <v>757</v>
      </c>
      <c r="E421" s="13" t="s">
        <v>32</v>
      </c>
      <c r="F421" s="13" t="s">
        <v>65</v>
      </c>
      <c r="G421" s="8">
        <v>4</v>
      </c>
      <c r="H421" s="56">
        <f t="shared" si="18"/>
        <v>2.64831525</v>
      </c>
      <c r="I421" s="10">
        <v>3</v>
      </c>
      <c r="J421" s="8">
        <v>357</v>
      </c>
      <c r="K421" s="8">
        <v>1260</v>
      </c>
    </row>
    <row r="422" ht="21" customHeight="1" spans="1:11">
      <c r="A422" s="8">
        <v>8230</v>
      </c>
      <c r="B422" s="8" t="s">
        <v>759</v>
      </c>
      <c r="C422" s="8" t="s">
        <v>42</v>
      </c>
      <c r="D422" s="13" t="s">
        <v>757</v>
      </c>
      <c r="E422" s="13" t="s">
        <v>751</v>
      </c>
      <c r="H422" s="56"/>
    </row>
    <row r="423" ht="21" customHeight="1" spans="1:11">
      <c r="A423" s="42">
        <v>8231</v>
      </c>
      <c r="B423" s="42" t="s">
        <v>760</v>
      </c>
      <c r="C423" s="42" t="s">
        <v>42</v>
      </c>
      <c r="D423" s="43" t="s">
        <v>761</v>
      </c>
      <c r="E423" s="43" t="s">
        <v>14</v>
      </c>
      <c r="F423" s="43" t="s">
        <v>30</v>
      </c>
      <c r="G423" s="42">
        <v>4</v>
      </c>
      <c r="H423" s="62">
        <f>J423*K423*7.85*I423/G423/1000000</f>
        <v>3.600324</v>
      </c>
      <c r="I423" s="45">
        <v>3.5</v>
      </c>
      <c r="J423" s="42">
        <v>416</v>
      </c>
      <c r="K423" s="42">
        <v>1260</v>
      </c>
    </row>
    <row r="424" ht="21" customHeight="1" spans="1:11">
      <c r="A424" s="42">
        <v>8231</v>
      </c>
      <c r="B424" s="42" t="s">
        <v>762</v>
      </c>
      <c r="C424" s="42" t="s">
        <v>42</v>
      </c>
      <c r="D424" s="43" t="s">
        <v>761</v>
      </c>
      <c r="E424" s="43" t="s">
        <v>32</v>
      </c>
      <c r="F424" s="43" t="s">
        <v>667</v>
      </c>
      <c r="G424" s="42">
        <v>10</v>
      </c>
      <c r="H424" s="62">
        <f>J424*K424*7.85*I424/G424/1000000</f>
        <v>0.741825</v>
      </c>
      <c r="I424" s="45">
        <v>3</v>
      </c>
      <c r="J424" s="42">
        <v>250</v>
      </c>
      <c r="K424" s="42">
        <v>1260</v>
      </c>
    </row>
    <row r="425" ht="21" customHeight="1" spans="1:11">
      <c r="A425" s="8">
        <v>8232</v>
      </c>
      <c r="B425" s="8" t="s">
        <v>763</v>
      </c>
      <c r="C425" s="8" t="s">
        <v>764</v>
      </c>
      <c r="D425" s="13" t="s">
        <v>765</v>
      </c>
      <c r="E425" s="13" t="s">
        <v>14</v>
      </c>
      <c r="F425" s="13" t="s">
        <v>766</v>
      </c>
      <c r="G425" s="8">
        <v>4</v>
      </c>
      <c r="H425" s="14">
        <f>J425*K425*7.85*I425/G425/1000000</f>
        <v>3.089701125</v>
      </c>
      <c r="I425" s="10">
        <v>3.5</v>
      </c>
      <c r="J425" s="8">
        <v>357</v>
      </c>
      <c r="K425" s="8">
        <v>1260</v>
      </c>
    </row>
    <row r="426" ht="21" customHeight="1" spans="1:11">
      <c r="A426" s="8">
        <v>8232</v>
      </c>
      <c r="B426" s="8" t="s">
        <v>767</v>
      </c>
      <c r="C426" s="8" t="s">
        <v>42</v>
      </c>
      <c r="D426" s="13" t="s">
        <v>765</v>
      </c>
      <c r="E426" s="13" t="s">
        <v>32</v>
      </c>
      <c r="F426" s="13" t="s">
        <v>768</v>
      </c>
      <c r="G426" s="8">
        <v>9</v>
      </c>
      <c r="H426" s="14">
        <f>J426*K426*7.85*I426/G426/1000000</f>
        <v>0.489055</v>
      </c>
      <c r="I426" s="10">
        <v>2.5</v>
      </c>
      <c r="J426" s="8">
        <v>178</v>
      </c>
      <c r="K426" s="8">
        <v>1260</v>
      </c>
    </row>
    <row r="427" ht="21" customHeight="1" spans="1:11">
      <c r="A427" s="8">
        <v>8234</v>
      </c>
      <c r="B427" s="8" t="s">
        <v>769</v>
      </c>
      <c r="C427" s="8" t="s">
        <v>42</v>
      </c>
      <c r="D427" s="13" t="s">
        <v>770</v>
      </c>
      <c r="E427" s="13" t="s">
        <v>14</v>
      </c>
      <c r="F427" s="13" t="s">
        <v>122</v>
      </c>
      <c r="G427" s="8">
        <v>4</v>
      </c>
      <c r="H427" s="9">
        <f>J427*K427*7.85*I427/G427/1000000</f>
        <v>2.206929375</v>
      </c>
      <c r="I427" s="10">
        <v>2.5</v>
      </c>
      <c r="J427" s="8">
        <v>357</v>
      </c>
      <c r="K427" s="8">
        <v>1260</v>
      </c>
    </row>
    <row r="428" ht="21" customHeight="1" spans="1:11">
      <c r="A428" s="8">
        <v>8234</v>
      </c>
      <c r="B428" s="8" t="s">
        <v>771</v>
      </c>
      <c r="C428" s="8" t="s">
        <v>42</v>
      </c>
      <c r="D428" s="13" t="s">
        <v>770</v>
      </c>
      <c r="E428" s="13" t="s">
        <v>32</v>
      </c>
      <c r="F428" s="13" t="s">
        <v>122</v>
      </c>
      <c r="G428" s="8">
        <v>4</v>
      </c>
      <c r="H428" s="9">
        <f>J428*K428*7.85*I428/G428/1000000</f>
        <v>2.206929375</v>
      </c>
      <c r="I428" s="10">
        <v>2.5</v>
      </c>
      <c r="J428" s="8">
        <v>357</v>
      </c>
      <c r="K428" s="8">
        <v>1260</v>
      </c>
    </row>
    <row r="429" customFormat="1"/>
    <row r="430" customFormat="1"/>
    <row r="431" ht="21" customHeight="1" spans="1:11">
      <c r="A431" s="8">
        <v>8234</v>
      </c>
      <c r="B431" s="8" t="s">
        <v>772</v>
      </c>
      <c r="C431" s="8" t="s">
        <v>42</v>
      </c>
      <c r="D431" s="13" t="s">
        <v>770</v>
      </c>
      <c r="E431" s="13" t="s">
        <v>160</v>
      </c>
      <c r="F431" s="13" t="s">
        <v>773</v>
      </c>
      <c r="G431" s="8">
        <v>10</v>
      </c>
      <c r="H431" s="9">
        <f>J431*K431*7.85*I431/G431/1000000</f>
        <v>0.80364375</v>
      </c>
      <c r="I431" s="10">
        <v>2.5</v>
      </c>
      <c r="J431" s="8">
        <v>325</v>
      </c>
      <c r="K431" s="8">
        <v>1260</v>
      </c>
    </row>
    <row r="432" ht="21" customHeight="1" spans="1:11">
      <c r="A432" s="8">
        <v>8235</v>
      </c>
      <c r="B432" s="8" t="s">
        <v>774</v>
      </c>
      <c r="C432" s="8" t="s">
        <v>42</v>
      </c>
      <c r="E432" s="13" t="s">
        <v>14</v>
      </c>
      <c r="F432" s="13" t="s">
        <v>275</v>
      </c>
      <c r="G432" s="8">
        <v>2</v>
      </c>
      <c r="H432" s="14">
        <f>J432*K432*7.85*I432/G432/1000000</f>
        <v>4.114656</v>
      </c>
      <c r="I432" s="10">
        <v>4</v>
      </c>
      <c r="J432" s="8">
        <v>416</v>
      </c>
      <c r="K432" s="8">
        <v>630</v>
      </c>
    </row>
    <row r="433" ht="21" customHeight="1" spans="1:11">
      <c r="A433" s="8">
        <v>8236</v>
      </c>
      <c r="B433" s="8" t="s">
        <v>775</v>
      </c>
      <c r="C433" s="8" t="s">
        <v>42</v>
      </c>
      <c r="D433" s="13" t="s">
        <v>776</v>
      </c>
      <c r="E433" s="13" t="s">
        <v>14</v>
      </c>
      <c r="F433" s="13" t="s">
        <v>307</v>
      </c>
      <c r="G433" s="8">
        <v>4</v>
      </c>
      <c r="H433" s="9">
        <f>J433*K433*7.85*I433/G433/1000000</f>
        <v>2.314494</v>
      </c>
      <c r="I433" s="10">
        <v>3</v>
      </c>
      <c r="J433" s="8">
        <v>312</v>
      </c>
      <c r="K433" s="8">
        <v>1260</v>
      </c>
    </row>
    <row r="434" ht="21" customHeight="1" spans="1:11">
      <c r="A434" s="8">
        <v>8236</v>
      </c>
      <c r="B434" s="8" t="s">
        <v>777</v>
      </c>
      <c r="C434" s="8" t="s">
        <v>42</v>
      </c>
      <c r="D434" s="13" t="s">
        <v>776</v>
      </c>
      <c r="E434" s="13" t="s">
        <v>32</v>
      </c>
      <c r="F434" s="13" t="s">
        <v>307</v>
      </c>
      <c r="G434" s="8">
        <v>4</v>
      </c>
      <c r="H434" s="9">
        <f>J434*K434*7.85*I434/G434/1000000</f>
        <v>2.314494</v>
      </c>
      <c r="I434" s="10">
        <v>3</v>
      </c>
      <c r="J434" s="8">
        <v>312</v>
      </c>
      <c r="K434" s="8">
        <v>1260</v>
      </c>
    </row>
    <row r="435" ht="21" customHeight="1" spans="1:11">
      <c r="A435" s="8">
        <v>8236</v>
      </c>
      <c r="B435" s="8" t="s">
        <v>778</v>
      </c>
      <c r="C435" s="8" t="s">
        <v>42</v>
      </c>
      <c r="D435" s="13" t="s">
        <v>776</v>
      </c>
      <c r="E435" s="13" t="s">
        <v>779</v>
      </c>
      <c r="F435" s="13" t="s">
        <v>780</v>
      </c>
      <c r="G435" s="8">
        <v>32</v>
      </c>
      <c r="H435" s="9">
        <f>J435*K435*7.85*I435/G435/1000000</f>
        <v>0.24758409375</v>
      </c>
      <c r="I435" s="10">
        <v>4.5</v>
      </c>
      <c r="J435" s="8">
        <v>178</v>
      </c>
      <c r="K435" s="8">
        <v>1260</v>
      </c>
    </row>
    <row r="436" ht="21" customHeight="1" spans="1:11">
      <c r="A436" s="8">
        <v>8237</v>
      </c>
      <c r="B436" s="8" t="s">
        <v>781</v>
      </c>
      <c r="C436" s="8" t="s">
        <v>42</v>
      </c>
      <c r="E436" s="13" t="s">
        <v>14</v>
      </c>
      <c r="F436" s="13" t="s">
        <v>30</v>
      </c>
      <c r="G436" s="8">
        <v>4</v>
      </c>
      <c r="H436" s="14">
        <f>J436*K436*7.85*I436/G436/1000000</f>
        <v>3.600324</v>
      </c>
      <c r="I436" s="10">
        <v>3.5</v>
      </c>
      <c r="J436" s="8">
        <v>416</v>
      </c>
      <c r="K436" s="8">
        <v>1260</v>
      </c>
    </row>
    <row r="437" ht="21" customHeight="1" spans="1:11">
      <c r="A437" s="8">
        <v>8237</v>
      </c>
      <c r="B437" s="8" t="s">
        <v>782</v>
      </c>
      <c r="C437" s="8" t="s">
        <v>42</v>
      </c>
      <c r="E437" s="13" t="s">
        <v>32</v>
      </c>
      <c r="F437" s="13" t="s">
        <v>425</v>
      </c>
      <c r="G437" s="8">
        <v>15</v>
      </c>
      <c r="H437" s="14">
        <f>J437*K437*7.85*I437/G437/1000000</f>
        <v>0.8229312</v>
      </c>
      <c r="I437" s="10">
        <v>3</v>
      </c>
      <c r="J437" s="8">
        <v>416</v>
      </c>
      <c r="K437" s="8">
        <v>1260</v>
      </c>
    </row>
    <row r="438" ht="21" customHeight="1" spans="1:11">
      <c r="A438" s="8">
        <v>8238</v>
      </c>
      <c r="B438" s="8" t="s">
        <v>783</v>
      </c>
      <c r="C438" s="8" t="s">
        <v>42</v>
      </c>
      <c r="E438" s="13" t="s">
        <v>14</v>
      </c>
      <c r="G438" s="8">
        <v>6</v>
      </c>
      <c r="H438" s="14">
        <f>J438*K438*7.85*I438/G438/1000000</f>
        <v>3.20221125</v>
      </c>
      <c r="I438" s="10">
        <v>3.5</v>
      </c>
      <c r="J438" s="8">
        <v>555</v>
      </c>
      <c r="K438" s="8">
        <v>1260</v>
      </c>
    </row>
    <row r="439" ht="21" customHeight="1" spans="1:11">
      <c r="A439" s="8">
        <v>8238</v>
      </c>
      <c r="B439" s="8" t="s">
        <v>784</v>
      </c>
      <c r="C439" s="8" t="s">
        <v>42</v>
      </c>
      <c r="E439" s="13" t="s">
        <v>32</v>
      </c>
      <c r="G439" s="8">
        <v>13</v>
      </c>
      <c r="H439" s="14">
        <f>J439*K439*7.85*I439/G439/1000000</f>
        <v>0.7536</v>
      </c>
      <c r="I439" s="10">
        <v>2</v>
      </c>
      <c r="J439" s="8">
        <v>416</v>
      </c>
      <c r="K439" s="8">
        <v>1500</v>
      </c>
    </row>
    <row r="440" ht="21" customHeight="1" spans="1:11">
      <c r="A440" s="8">
        <v>8238</v>
      </c>
      <c r="B440" s="8" t="s">
        <v>785</v>
      </c>
      <c r="C440" s="8" t="s">
        <v>42</v>
      </c>
      <c r="E440" s="13" t="s">
        <v>786</v>
      </c>
      <c r="G440" s="8">
        <v>17</v>
      </c>
      <c r="H440" s="14">
        <f>J440*K440*7.85*I440/G440/1000000</f>
        <v>0.317675647058824</v>
      </c>
      <c r="I440" s="10">
        <v>3.5</v>
      </c>
      <c r="J440" s="8">
        <v>156</v>
      </c>
      <c r="K440" s="8">
        <v>1260</v>
      </c>
    </row>
    <row r="441" ht="21" customHeight="1" spans="1:11">
      <c r="A441" s="8">
        <v>8238</v>
      </c>
      <c r="B441" s="8" t="s">
        <v>787</v>
      </c>
      <c r="C441" s="8" t="s">
        <v>42</v>
      </c>
      <c r="E441" s="13" t="s">
        <v>788</v>
      </c>
      <c r="G441" s="8">
        <v>24</v>
      </c>
      <c r="H441" s="14">
        <f>J441*K441*7.85*I441/G441/1000000</f>
        <v>0.1803046875</v>
      </c>
      <c r="I441" s="10">
        <v>3.5</v>
      </c>
      <c r="J441" s="8">
        <v>125</v>
      </c>
      <c r="K441" s="8">
        <v>1260</v>
      </c>
    </row>
    <row r="442" ht="21" customHeight="1" spans="1:11">
      <c r="A442" s="8">
        <v>8240</v>
      </c>
      <c r="B442" s="8" t="s">
        <v>789</v>
      </c>
      <c r="C442" s="8" t="s">
        <v>42</v>
      </c>
      <c r="D442" s="13" t="s">
        <v>790</v>
      </c>
      <c r="E442" s="13" t="s">
        <v>14</v>
      </c>
      <c r="F442" s="13" t="s">
        <v>122</v>
      </c>
      <c r="G442" s="8">
        <v>4</v>
      </c>
      <c r="H442" s="9">
        <f>J442*K442*7.85*I442/G442/1000000</f>
        <v>2.206929375</v>
      </c>
      <c r="I442" s="10">
        <v>2.5</v>
      </c>
      <c r="J442" s="8">
        <v>357</v>
      </c>
      <c r="K442" s="8">
        <v>1260</v>
      </c>
    </row>
    <row r="443" ht="21" customHeight="1" spans="1:11">
      <c r="A443" s="8">
        <v>8240</v>
      </c>
      <c r="B443" s="8" t="s">
        <v>791</v>
      </c>
      <c r="C443" s="8" t="s">
        <v>42</v>
      </c>
      <c r="D443" s="13" t="s">
        <v>790</v>
      </c>
      <c r="E443" s="13" t="s">
        <v>32</v>
      </c>
      <c r="F443" s="13" t="s">
        <v>122</v>
      </c>
      <c r="G443" s="8">
        <v>4</v>
      </c>
      <c r="H443" s="9">
        <f>J443*K443*7.85*I443/G443/1000000</f>
        <v>2.206929375</v>
      </c>
      <c r="I443" s="10">
        <v>2.5</v>
      </c>
      <c r="J443" s="8">
        <v>357</v>
      </c>
      <c r="K443" s="8">
        <v>1260</v>
      </c>
    </row>
    <row r="444" ht="21" customHeight="1" spans="1:11">
      <c r="A444" s="8">
        <v>8240</v>
      </c>
      <c r="B444" s="8" t="s">
        <v>792</v>
      </c>
      <c r="C444" s="8" t="s">
        <v>42</v>
      </c>
      <c r="D444" s="13" t="s">
        <v>790</v>
      </c>
      <c r="E444" s="13" t="s">
        <v>160</v>
      </c>
      <c r="F444" s="13" t="s">
        <v>106</v>
      </c>
      <c r="G444" s="8">
        <v>18</v>
      </c>
      <c r="H444" s="9">
        <f>J444*K444*7.85*I444/G444/1000000</f>
        <v>0.27475</v>
      </c>
      <c r="I444" s="10">
        <v>2</v>
      </c>
      <c r="J444" s="8">
        <v>250</v>
      </c>
      <c r="K444" s="8">
        <v>1260</v>
      </c>
    </row>
    <row r="445" ht="21" customHeight="1" spans="1:11">
      <c r="A445" s="8">
        <v>8241</v>
      </c>
      <c r="B445" s="8" t="s">
        <v>793</v>
      </c>
      <c r="C445" s="8" t="s">
        <v>42</v>
      </c>
      <c r="E445" s="13" t="s">
        <v>14</v>
      </c>
      <c r="F445" s="13" t="s">
        <v>794</v>
      </c>
      <c r="G445" s="8">
        <v>4</v>
      </c>
      <c r="H445" s="14">
        <f>J445*K445*7.85*I445/G445/1000000</f>
        <v>2.64831525</v>
      </c>
      <c r="I445" s="10">
        <v>3</v>
      </c>
      <c r="J445" s="8">
        <v>357</v>
      </c>
      <c r="K445" s="8">
        <v>1260</v>
      </c>
    </row>
    <row r="446" ht="21" customHeight="1" spans="1:11">
      <c r="A446" s="8">
        <v>8241</v>
      </c>
      <c r="B446" s="8" t="s">
        <v>795</v>
      </c>
      <c r="C446" s="8" t="s">
        <v>42</v>
      </c>
      <c r="E446" s="13" t="s">
        <v>32</v>
      </c>
      <c r="F446" s="13" t="s">
        <v>743</v>
      </c>
      <c r="G446" s="8">
        <v>4</v>
      </c>
      <c r="H446" s="14">
        <f>J446*K446*7.85*I446/G446/1000000</f>
        <v>2.206929375</v>
      </c>
      <c r="I446" s="10">
        <v>2.5</v>
      </c>
      <c r="J446" s="8">
        <v>357</v>
      </c>
      <c r="K446" s="8">
        <v>1260</v>
      </c>
    </row>
    <row r="447" ht="21" customHeight="1" spans="1:11">
      <c r="A447" s="8">
        <v>8245</v>
      </c>
      <c r="B447" s="8" t="s">
        <v>796</v>
      </c>
      <c r="C447" s="8" t="s">
        <v>42</v>
      </c>
      <c r="E447" s="13" t="s">
        <v>14</v>
      </c>
      <c r="F447" s="13" t="s">
        <v>741</v>
      </c>
      <c r="G447" s="8">
        <v>4</v>
      </c>
      <c r="H447" s="14">
        <f>J447*K447*7.85*I447/G447/1000000</f>
        <v>3.600324</v>
      </c>
      <c r="I447" s="10">
        <v>3.5</v>
      </c>
      <c r="J447" s="8">
        <v>416</v>
      </c>
      <c r="K447" s="8">
        <v>1260</v>
      </c>
    </row>
    <row r="448" ht="21" customHeight="1" spans="1:11">
      <c r="A448" s="8">
        <v>8245</v>
      </c>
      <c r="B448" s="8" t="s">
        <v>797</v>
      </c>
      <c r="C448" s="8" t="s">
        <v>42</v>
      </c>
      <c r="E448" s="13" t="s">
        <v>32</v>
      </c>
      <c r="F448" s="13" t="s">
        <v>798</v>
      </c>
      <c r="G448" s="8">
        <v>15</v>
      </c>
      <c r="H448" s="14">
        <f>J448*K448*7.85*I448/G448/1000000</f>
        <v>0.2057328</v>
      </c>
      <c r="I448" s="10">
        <v>2</v>
      </c>
      <c r="J448" s="8">
        <v>156</v>
      </c>
      <c r="K448" s="8">
        <v>1260</v>
      </c>
    </row>
    <row r="449" ht="21" customHeight="1" spans="1:11">
      <c r="A449" s="8" t="s">
        <v>799</v>
      </c>
      <c r="B449" s="8" t="s">
        <v>800</v>
      </c>
      <c r="C449" s="8" t="s">
        <v>42</v>
      </c>
      <c r="E449" s="13" t="s">
        <v>14</v>
      </c>
      <c r="F449" s="13" t="s">
        <v>801</v>
      </c>
      <c r="G449" s="8">
        <v>4</v>
      </c>
      <c r="H449" s="14">
        <f t="shared" ref="H449:H468" si="19">J449*K449*7.85*I449/G449/1000000</f>
        <v>3.085992</v>
      </c>
      <c r="I449" s="10">
        <v>3</v>
      </c>
      <c r="J449" s="8">
        <v>416</v>
      </c>
      <c r="K449" s="8">
        <v>1260</v>
      </c>
    </row>
    <row r="450" ht="21" customHeight="1" spans="1:11">
      <c r="A450" s="8" t="s">
        <v>799</v>
      </c>
      <c r="B450" s="8" t="s">
        <v>800</v>
      </c>
      <c r="C450" s="8" t="s">
        <v>42</v>
      </c>
      <c r="E450" s="13" t="s">
        <v>32</v>
      </c>
      <c r="F450" s="13" t="s">
        <v>798</v>
      </c>
      <c r="G450" s="8">
        <v>15</v>
      </c>
      <c r="H450" s="14">
        <f t="shared" si="19"/>
        <v>0.2057328</v>
      </c>
      <c r="I450" s="10">
        <v>2</v>
      </c>
      <c r="J450" s="8">
        <v>156</v>
      </c>
      <c r="K450" s="8">
        <v>1260</v>
      </c>
    </row>
    <row r="451" ht="21" customHeight="1" spans="1:11">
      <c r="A451" s="8">
        <v>8252</v>
      </c>
      <c r="B451" s="31" t="s">
        <v>802</v>
      </c>
      <c r="C451" s="8" t="s">
        <v>42</v>
      </c>
      <c r="E451" s="31" t="s">
        <v>14</v>
      </c>
      <c r="F451" s="63" t="s">
        <v>15</v>
      </c>
      <c r="G451" s="8">
        <v>6</v>
      </c>
      <c r="H451" s="56">
        <f t="shared" si="19"/>
        <v>2.060625</v>
      </c>
      <c r="I451" s="10">
        <v>2.5</v>
      </c>
      <c r="J451" s="8">
        <v>500</v>
      </c>
      <c r="K451" s="8">
        <v>1260</v>
      </c>
    </row>
    <row r="452" ht="21" customHeight="1" spans="1:11">
      <c r="A452" s="8">
        <v>8252</v>
      </c>
      <c r="B452" s="31" t="s">
        <v>803</v>
      </c>
      <c r="C452" s="8" t="s">
        <v>42</v>
      </c>
      <c r="E452" s="31" t="s">
        <v>32</v>
      </c>
      <c r="F452" s="63" t="s">
        <v>15</v>
      </c>
      <c r="G452" s="8">
        <v>7</v>
      </c>
      <c r="H452" s="56">
        <f t="shared" si="19"/>
        <v>1.76625</v>
      </c>
      <c r="I452" s="10">
        <v>2.5</v>
      </c>
      <c r="J452" s="8">
        <v>500</v>
      </c>
      <c r="K452" s="8">
        <v>1260</v>
      </c>
    </row>
    <row r="453" ht="21" customHeight="1" spans="1:11">
      <c r="A453" s="8">
        <v>8252</v>
      </c>
      <c r="B453" s="31" t="s">
        <v>804</v>
      </c>
      <c r="C453" s="8" t="s">
        <v>42</v>
      </c>
      <c r="E453" s="31" t="s">
        <v>160</v>
      </c>
      <c r="F453" s="63" t="s">
        <v>805</v>
      </c>
      <c r="G453" s="8">
        <v>34</v>
      </c>
      <c r="H453" s="56">
        <f t="shared" si="19"/>
        <v>0.0909099264705882</v>
      </c>
      <c r="I453" s="10">
        <v>2.5</v>
      </c>
      <c r="J453" s="8">
        <v>125</v>
      </c>
      <c r="K453" s="8">
        <v>1260</v>
      </c>
    </row>
    <row r="454" ht="21" customHeight="1" spans="1:11">
      <c r="A454" s="8">
        <v>8252</v>
      </c>
      <c r="B454" s="31" t="s">
        <v>806</v>
      </c>
      <c r="C454" s="8" t="s">
        <v>42</v>
      </c>
      <c r="E454" s="31" t="s">
        <v>346</v>
      </c>
      <c r="F454" s="63" t="s">
        <v>735</v>
      </c>
      <c r="G454" s="8">
        <v>17</v>
      </c>
      <c r="H454" s="56">
        <f t="shared" si="19"/>
        <v>0.218183823529412</v>
      </c>
      <c r="I454" s="10">
        <v>3</v>
      </c>
      <c r="J454" s="8">
        <v>125</v>
      </c>
      <c r="K454" s="8">
        <v>1260</v>
      </c>
    </row>
    <row r="455" ht="21" customHeight="1" spans="1:11">
      <c r="A455" s="8">
        <v>8252</v>
      </c>
      <c r="B455" s="31" t="s">
        <v>807</v>
      </c>
      <c r="C455" s="8" t="s">
        <v>42</v>
      </c>
      <c r="E455" s="31" t="s">
        <v>808</v>
      </c>
      <c r="F455" s="63" t="s">
        <v>809</v>
      </c>
      <c r="G455" s="8">
        <v>10</v>
      </c>
      <c r="H455" s="56">
        <f t="shared" si="19"/>
        <v>0.4401495</v>
      </c>
      <c r="I455" s="10">
        <v>2.5</v>
      </c>
      <c r="J455" s="8">
        <v>178</v>
      </c>
      <c r="K455" s="8">
        <v>1260</v>
      </c>
    </row>
    <row r="456" ht="21" customHeight="1" spans="1:11">
      <c r="A456" s="8">
        <v>8252</v>
      </c>
      <c r="B456" s="31" t="s">
        <v>810</v>
      </c>
      <c r="C456" s="8" t="s">
        <v>42</v>
      </c>
      <c r="E456" s="31" t="s">
        <v>808</v>
      </c>
      <c r="F456" s="63" t="s">
        <v>809</v>
      </c>
      <c r="G456" s="8">
        <v>15</v>
      </c>
      <c r="H456" s="56">
        <f t="shared" si="19"/>
        <v>0.293433</v>
      </c>
      <c r="I456" s="10">
        <v>2.5</v>
      </c>
      <c r="J456" s="8">
        <v>178</v>
      </c>
      <c r="K456" s="8">
        <v>1260</v>
      </c>
    </row>
    <row r="457" ht="21" customHeight="1" spans="1:11">
      <c r="A457" s="8">
        <v>8252</v>
      </c>
      <c r="B457" s="31" t="s">
        <v>811</v>
      </c>
      <c r="C457" s="8" t="s">
        <v>42</v>
      </c>
      <c r="E457" s="31" t="s">
        <v>808</v>
      </c>
      <c r="F457" s="63" t="s">
        <v>805</v>
      </c>
      <c r="G457" s="8">
        <v>70</v>
      </c>
      <c r="H457" s="56">
        <f t="shared" si="19"/>
        <v>0.04415625</v>
      </c>
      <c r="I457" s="10">
        <v>2.5</v>
      </c>
      <c r="J457" s="8">
        <v>125</v>
      </c>
      <c r="K457" s="8">
        <v>1260</v>
      </c>
    </row>
    <row r="458" ht="21" customHeight="1" spans="1:11">
      <c r="A458" s="8">
        <v>8252</v>
      </c>
      <c r="B458" s="31" t="s">
        <v>812</v>
      </c>
      <c r="C458" s="8" t="s">
        <v>42</v>
      </c>
      <c r="E458" s="31" t="s">
        <v>813</v>
      </c>
      <c r="F458" s="20" t="s">
        <v>139</v>
      </c>
      <c r="G458" s="8">
        <v>50</v>
      </c>
      <c r="H458" s="14">
        <f t="shared" si="19"/>
        <v>0.13293504</v>
      </c>
      <c r="I458" s="10">
        <v>3.5</v>
      </c>
      <c r="J458" s="8">
        <v>192</v>
      </c>
      <c r="K458" s="8">
        <v>1260</v>
      </c>
    </row>
    <row r="459" ht="21" customHeight="1" spans="1:11">
      <c r="A459" s="42" t="s">
        <v>814</v>
      </c>
      <c r="B459" s="64" t="s">
        <v>802</v>
      </c>
      <c r="C459" s="42" t="s">
        <v>42</v>
      </c>
      <c r="D459" s="43"/>
      <c r="E459" s="64" t="s">
        <v>14</v>
      </c>
      <c r="F459" s="65" t="s">
        <v>15</v>
      </c>
      <c r="G459" s="42">
        <v>6</v>
      </c>
      <c r="H459" s="57">
        <f t="shared" si="19"/>
        <v>2.060625</v>
      </c>
      <c r="I459" s="45">
        <v>2.5</v>
      </c>
      <c r="J459" s="42">
        <v>500</v>
      </c>
      <c r="K459" s="42">
        <v>1260</v>
      </c>
    </row>
    <row r="460" ht="21" customHeight="1" spans="1:11">
      <c r="A460" s="42" t="s">
        <v>814</v>
      </c>
      <c r="B460" s="64" t="s">
        <v>803</v>
      </c>
      <c r="C460" s="42" t="s">
        <v>42</v>
      </c>
      <c r="D460" s="43"/>
      <c r="E460" s="64" t="s">
        <v>32</v>
      </c>
      <c r="F460" s="65" t="s">
        <v>15</v>
      </c>
      <c r="G460" s="42">
        <v>7</v>
      </c>
      <c r="H460" s="57">
        <f t="shared" si="19"/>
        <v>1.76625</v>
      </c>
      <c r="I460" s="45">
        <v>2.5</v>
      </c>
      <c r="J460" s="42">
        <v>500</v>
      </c>
      <c r="K460" s="42">
        <v>1260</v>
      </c>
    </row>
    <row r="461" ht="21" customHeight="1" spans="1:11">
      <c r="A461" s="42" t="s">
        <v>814</v>
      </c>
      <c r="B461" s="64" t="s">
        <v>804</v>
      </c>
      <c r="C461" s="42" t="s">
        <v>42</v>
      </c>
      <c r="D461" s="43"/>
      <c r="E461" s="64" t="s">
        <v>160</v>
      </c>
      <c r="F461" s="65" t="s">
        <v>805</v>
      </c>
      <c r="G461" s="42">
        <v>34</v>
      </c>
      <c r="H461" s="57">
        <f t="shared" si="19"/>
        <v>0.0909099264705882</v>
      </c>
      <c r="I461" s="45">
        <v>2.5</v>
      </c>
      <c r="J461" s="42">
        <v>125</v>
      </c>
      <c r="K461" s="42">
        <v>1260</v>
      </c>
    </row>
    <row r="462" ht="21" customHeight="1" spans="1:11">
      <c r="A462" s="42" t="s">
        <v>814</v>
      </c>
      <c r="B462" s="64" t="s">
        <v>806</v>
      </c>
      <c r="C462" s="42" t="s">
        <v>42</v>
      </c>
      <c r="D462" s="43"/>
      <c r="E462" s="64" t="s">
        <v>346</v>
      </c>
      <c r="F462" s="65" t="s">
        <v>735</v>
      </c>
      <c r="G462" s="42">
        <v>17</v>
      </c>
      <c r="H462" s="57">
        <f t="shared" si="19"/>
        <v>0.218183823529412</v>
      </c>
      <c r="I462" s="45">
        <v>3</v>
      </c>
      <c r="J462" s="42">
        <v>125</v>
      </c>
      <c r="K462" s="42">
        <v>1260</v>
      </c>
    </row>
    <row r="463" ht="21" customHeight="1" spans="1:11">
      <c r="A463" s="42" t="s">
        <v>814</v>
      </c>
      <c r="B463" s="64" t="s">
        <v>815</v>
      </c>
      <c r="C463" s="42" t="s">
        <v>42</v>
      </c>
      <c r="D463" s="43"/>
      <c r="E463" s="64" t="s">
        <v>808</v>
      </c>
      <c r="F463" s="65" t="s">
        <v>809</v>
      </c>
      <c r="G463" s="42">
        <v>10</v>
      </c>
      <c r="H463" s="57">
        <f t="shared" si="19"/>
        <v>0.4401495</v>
      </c>
      <c r="I463" s="45">
        <v>2.5</v>
      </c>
      <c r="J463" s="42">
        <v>178</v>
      </c>
      <c r="K463" s="42">
        <v>1260</v>
      </c>
    </row>
    <row r="464" ht="21" customHeight="1" spans="1:11">
      <c r="A464" s="42" t="s">
        <v>814</v>
      </c>
      <c r="B464" s="64" t="s">
        <v>816</v>
      </c>
      <c r="C464" s="42" t="s">
        <v>42</v>
      </c>
      <c r="D464" s="43"/>
      <c r="E464" s="64" t="s">
        <v>808</v>
      </c>
      <c r="F464" s="65" t="s">
        <v>809</v>
      </c>
      <c r="G464" s="42">
        <v>15</v>
      </c>
      <c r="H464" s="57">
        <f t="shared" si="19"/>
        <v>0.293433</v>
      </c>
      <c r="I464" s="45">
        <v>2.5</v>
      </c>
      <c r="J464" s="42">
        <v>178</v>
      </c>
      <c r="K464" s="42">
        <v>1260</v>
      </c>
    </row>
    <row r="465" ht="21" customHeight="1" spans="1:13">
      <c r="A465" s="42" t="s">
        <v>814</v>
      </c>
      <c r="B465" s="64" t="s">
        <v>817</v>
      </c>
      <c r="C465" s="42" t="s">
        <v>42</v>
      </c>
      <c r="D465" s="43"/>
      <c r="E465" s="64" t="s">
        <v>808</v>
      </c>
      <c r="F465" s="65" t="s">
        <v>805</v>
      </c>
      <c r="G465" s="42">
        <v>70</v>
      </c>
      <c r="H465" s="57">
        <f t="shared" si="19"/>
        <v>0.04415625</v>
      </c>
      <c r="I465" s="45">
        <v>2.5</v>
      </c>
      <c r="J465" s="42">
        <v>125</v>
      </c>
      <c r="K465" s="42">
        <v>1260</v>
      </c>
    </row>
    <row r="466" ht="21" customHeight="1" spans="1:13">
      <c r="A466" s="42" t="s">
        <v>814</v>
      </c>
      <c r="B466" s="64" t="s">
        <v>812</v>
      </c>
      <c r="C466" s="42" t="s">
        <v>42</v>
      </c>
      <c r="D466" s="43"/>
      <c r="E466" s="64" t="s">
        <v>813</v>
      </c>
      <c r="F466" s="66" t="s">
        <v>139</v>
      </c>
      <c r="G466" s="42">
        <v>40</v>
      </c>
      <c r="H466" s="57">
        <f t="shared" si="19"/>
        <v>0.1661688</v>
      </c>
      <c r="I466" s="45">
        <v>3.5</v>
      </c>
      <c r="J466" s="42">
        <v>192</v>
      </c>
      <c r="K466" s="42">
        <v>1260</v>
      </c>
    </row>
    <row r="467" ht="21" customHeight="1" spans="1:13">
      <c r="A467" s="8">
        <v>8253</v>
      </c>
      <c r="B467" s="20" t="s">
        <v>818</v>
      </c>
      <c r="C467" s="8" t="s">
        <v>42</v>
      </c>
      <c r="E467" s="20" t="s">
        <v>14</v>
      </c>
      <c r="F467" s="20" t="s">
        <v>157</v>
      </c>
      <c r="G467" s="8">
        <v>6</v>
      </c>
      <c r="H467" s="9">
        <f t="shared" si="19"/>
        <v>2.14985333333333</v>
      </c>
      <c r="I467" s="10">
        <v>2.5</v>
      </c>
      <c r="J467" s="8">
        <v>416</v>
      </c>
      <c r="K467" s="8">
        <v>1580</v>
      </c>
    </row>
    <row r="468" ht="21" customHeight="1" spans="1:13">
      <c r="A468" s="8">
        <v>8253</v>
      </c>
      <c r="B468" s="20" t="s">
        <v>819</v>
      </c>
      <c r="C468" s="8" t="s">
        <v>42</v>
      </c>
      <c r="E468" s="20" t="s">
        <v>32</v>
      </c>
      <c r="F468" s="20" t="s">
        <v>57</v>
      </c>
      <c r="G468" s="8">
        <v>6</v>
      </c>
      <c r="H468" s="9">
        <f t="shared" si="19"/>
        <v>2.041</v>
      </c>
      <c r="I468" s="10">
        <v>2.5</v>
      </c>
      <c r="J468" s="8">
        <v>416</v>
      </c>
      <c r="K468" s="8">
        <v>1500</v>
      </c>
    </row>
    <row r="469" ht="21" customHeight="1" spans="1:13">
      <c r="A469" s="8">
        <v>8253</v>
      </c>
      <c r="B469" s="20" t="s">
        <v>820</v>
      </c>
      <c r="C469" s="8" t="s">
        <v>42</v>
      </c>
      <c r="E469" s="20" t="s">
        <v>645</v>
      </c>
      <c r="F469" s="20" t="s">
        <v>396</v>
      </c>
      <c r="G469" s="8">
        <v>15</v>
      </c>
      <c r="H469" s="36">
        <f t="shared" ref="H469:H476" si="20">J469*K469*7.85*I469/G469/1000000</f>
        <v>0.1727628</v>
      </c>
      <c r="I469" s="10">
        <v>2</v>
      </c>
      <c r="J469" s="8">
        <v>131</v>
      </c>
      <c r="K469" s="8">
        <v>1260</v>
      </c>
    </row>
    <row r="470" ht="21" customHeight="1" spans="1:13">
      <c r="A470" s="8">
        <v>8253</v>
      </c>
      <c r="B470" s="20" t="s">
        <v>821</v>
      </c>
      <c r="C470" s="8" t="s">
        <v>42</v>
      </c>
      <c r="E470" s="20" t="s">
        <v>822</v>
      </c>
      <c r="F470" s="20" t="s">
        <v>823</v>
      </c>
      <c r="G470" s="8">
        <v>18</v>
      </c>
      <c r="H470" s="36">
        <f t="shared" si="20"/>
        <v>0.283542</v>
      </c>
      <c r="I470" s="10">
        <v>6</v>
      </c>
      <c r="J470" s="8">
        <v>86</v>
      </c>
      <c r="K470" s="8">
        <v>1260</v>
      </c>
    </row>
    <row r="471" ht="21" customHeight="1" spans="1:13">
      <c r="A471" s="42">
        <v>8253</v>
      </c>
      <c r="B471" s="42" t="s">
        <v>818</v>
      </c>
      <c r="C471" s="42" t="s">
        <v>42</v>
      </c>
      <c r="D471" s="43"/>
      <c r="E471" s="43" t="s">
        <v>14</v>
      </c>
      <c r="F471" s="43" t="s">
        <v>33</v>
      </c>
      <c r="G471" s="42">
        <v>4</v>
      </c>
      <c r="H471" s="62">
        <f t="shared" si="20"/>
        <v>2.57166</v>
      </c>
      <c r="I471" s="45">
        <v>2.5</v>
      </c>
      <c r="J471" s="42">
        <v>416</v>
      </c>
      <c r="K471" s="42">
        <v>1260</v>
      </c>
    </row>
    <row r="472" ht="21" customHeight="1" spans="1:13">
      <c r="A472" s="42">
        <v>8253</v>
      </c>
      <c r="B472" s="42" t="s">
        <v>819</v>
      </c>
      <c r="C472" s="42" t="s">
        <v>42</v>
      </c>
      <c r="D472" s="43"/>
      <c r="E472" s="43" t="s">
        <v>32</v>
      </c>
      <c r="F472" s="43" t="s">
        <v>33</v>
      </c>
      <c r="G472" s="42">
        <v>4</v>
      </c>
      <c r="H472" s="62">
        <f t="shared" si="20"/>
        <v>2.57166</v>
      </c>
      <c r="I472" s="45">
        <v>2.5</v>
      </c>
      <c r="J472" s="42">
        <v>416</v>
      </c>
      <c r="K472" s="42">
        <v>1260</v>
      </c>
    </row>
    <row r="473" ht="21" customHeight="1" spans="1:13">
      <c r="A473" s="42">
        <v>8253</v>
      </c>
      <c r="B473" s="42" t="s">
        <v>820</v>
      </c>
      <c r="C473" s="42" t="s">
        <v>42</v>
      </c>
      <c r="D473" s="43"/>
      <c r="E473" s="43" t="s">
        <v>645</v>
      </c>
      <c r="F473" s="43" t="s">
        <v>396</v>
      </c>
      <c r="G473" s="42">
        <v>15</v>
      </c>
      <c r="H473" s="62">
        <f t="shared" si="20"/>
        <v>0.1727628</v>
      </c>
      <c r="I473" s="45">
        <v>2</v>
      </c>
      <c r="J473" s="42">
        <v>131</v>
      </c>
      <c r="K473" s="42">
        <v>1260</v>
      </c>
    </row>
    <row r="474" ht="21" customHeight="1" spans="1:13">
      <c r="A474" s="42">
        <v>8253</v>
      </c>
      <c r="B474" s="42" t="s">
        <v>821</v>
      </c>
      <c r="C474" s="42" t="s">
        <v>42</v>
      </c>
      <c r="D474" s="43"/>
      <c r="E474" s="43" t="s">
        <v>822</v>
      </c>
      <c r="F474" s="43" t="s">
        <v>823</v>
      </c>
      <c r="G474" s="42">
        <v>18</v>
      </c>
      <c r="H474" s="62">
        <f t="shared" si="20"/>
        <v>0.283542</v>
      </c>
      <c r="I474" s="45">
        <v>6</v>
      </c>
      <c r="J474" s="42">
        <v>86</v>
      </c>
      <c r="K474" s="42">
        <v>1260</v>
      </c>
    </row>
    <row r="475" ht="21" customHeight="1" spans="1:13">
      <c r="A475" s="8">
        <v>8254</v>
      </c>
      <c r="B475" s="8" t="s">
        <v>824</v>
      </c>
      <c r="C475" s="8" t="s">
        <v>42</v>
      </c>
      <c r="E475" s="13" t="s">
        <v>14</v>
      </c>
      <c r="F475" s="13" t="s">
        <v>825</v>
      </c>
      <c r="G475" s="8">
        <v>2</v>
      </c>
      <c r="H475" s="14">
        <f t="shared" si="20"/>
        <v>5.62550625</v>
      </c>
      <c r="I475" s="10">
        <v>3.5</v>
      </c>
      <c r="J475" s="8">
        <v>630</v>
      </c>
      <c r="K475" s="8">
        <v>650</v>
      </c>
    </row>
    <row r="476" ht="21" customHeight="1" spans="1:13">
      <c r="A476" s="8">
        <v>8254</v>
      </c>
      <c r="B476" s="8" t="s">
        <v>826</v>
      </c>
      <c r="C476" s="8" t="s">
        <v>42</v>
      </c>
      <c r="E476" s="13" t="s">
        <v>32</v>
      </c>
      <c r="F476" s="13" t="s">
        <v>825</v>
      </c>
      <c r="G476" s="8">
        <v>2</v>
      </c>
      <c r="H476" s="14">
        <f t="shared" si="20"/>
        <v>5.62550625</v>
      </c>
      <c r="I476" s="10">
        <v>3.5</v>
      </c>
      <c r="J476" s="8">
        <v>630</v>
      </c>
      <c r="K476" s="8">
        <v>650</v>
      </c>
    </row>
    <row r="477" ht="21" customHeight="1" spans="1:13">
      <c r="A477" s="8">
        <v>8254</v>
      </c>
      <c r="B477" s="8" t="s">
        <v>827</v>
      </c>
      <c r="C477" s="8" t="s">
        <v>42</v>
      </c>
      <c r="E477" s="13" t="s">
        <v>91</v>
      </c>
      <c r="H477" s="14"/>
    </row>
    <row r="478" ht="21" customHeight="1" spans="1:13">
      <c r="A478" s="42" t="s">
        <v>828</v>
      </c>
      <c r="B478" s="42" t="s">
        <v>824</v>
      </c>
      <c r="C478" s="42" t="s">
        <v>42</v>
      </c>
      <c r="D478" s="43"/>
      <c r="E478" s="43" t="s">
        <v>14</v>
      </c>
      <c r="F478" s="43" t="s">
        <v>825</v>
      </c>
      <c r="G478" s="42">
        <v>2</v>
      </c>
      <c r="H478" s="62">
        <f>J478*K478*7.85*I478/G478/1000000</f>
        <v>6.49096875</v>
      </c>
      <c r="I478" s="45">
        <v>3.5</v>
      </c>
      <c r="J478" s="42">
        <v>630</v>
      </c>
      <c r="K478" s="42">
        <v>750</v>
      </c>
      <c r="M478" s="36"/>
    </row>
    <row r="479" ht="21" customHeight="1" spans="1:13">
      <c r="A479" s="42" t="s">
        <v>828</v>
      </c>
      <c r="B479" s="42" t="s">
        <v>826</v>
      </c>
      <c r="C479" s="42" t="s">
        <v>42</v>
      </c>
      <c r="D479" s="43"/>
      <c r="E479" s="43" t="s">
        <v>32</v>
      </c>
      <c r="F479" s="43" t="s">
        <v>825</v>
      </c>
      <c r="G479" s="42">
        <v>2</v>
      </c>
      <c r="H479" s="62">
        <f>J479*K479*7.85*I479/G479/1000000</f>
        <v>6.49096875</v>
      </c>
      <c r="I479" s="45">
        <v>3.5</v>
      </c>
      <c r="J479" s="42">
        <v>630</v>
      </c>
      <c r="K479" s="42">
        <v>750</v>
      </c>
      <c r="M479" s="36"/>
    </row>
    <row r="480" ht="21" customHeight="1" spans="1:13">
      <c r="A480" s="42" t="s">
        <v>828</v>
      </c>
      <c r="B480" s="42" t="s">
        <v>827</v>
      </c>
      <c r="C480" s="42" t="s">
        <v>42</v>
      </c>
      <c r="D480" s="43"/>
      <c r="E480" s="43" t="s">
        <v>91</v>
      </c>
      <c r="F480" s="43"/>
      <c r="G480" s="42"/>
      <c r="H480" s="62"/>
      <c r="I480" s="45"/>
      <c r="J480" s="42"/>
      <c r="K480" s="42"/>
      <c r="M480" s="36"/>
    </row>
    <row r="481" ht="21" customHeight="1" spans="1:11">
      <c r="A481" s="8">
        <v>8255</v>
      </c>
      <c r="B481" s="8" t="s">
        <v>829</v>
      </c>
      <c r="C481" s="8" t="s">
        <v>42</v>
      </c>
      <c r="E481" s="13" t="s">
        <v>14</v>
      </c>
      <c r="F481" s="20" t="s">
        <v>15</v>
      </c>
      <c r="G481" s="8">
        <v>7</v>
      </c>
      <c r="H481" s="14">
        <f t="shared" ref="H481:H536" si="21">J481*K481*7.85*I481/G481/1000000</f>
        <v>1.76625</v>
      </c>
      <c r="I481" s="10">
        <v>2.5</v>
      </c>
      <c r="J481" s="8">
        <v>500</v>
      </c>
      <c r="K481" s="8">
        <v>1260</v>
      </c>
    </row>
    <row r="482" ht="21" customHeight="1" spans="1:11">
      <c r="A482" s="8">
        <v>8255</v>
      </c>
      <c r="B482" s="8" t="s">
        <v>830</v>
      </c>
      <c r="C482" s="8" t="s">
        <v>42</v>
      </c>
      <c r="E482" s="13" t="s">
        <v>32</v>
      </c>
      <c r="F482" s="20" t="s">
        <v>15</v>
      </c>
      <c r="G482" s="8">
        <v>7</v>
      </c>
      <c r="H482" s="14">
        <f t="shared" si="21"/>
        <v>1.76625</v>
      </c>
      <c r="I482" s="10">
        <v>2.5</v>
      </c>
      <c r="J482" s="8">
        <v>500</v>
      </c>
      <c r="K482" s="8">
        <v>1260</v>
      </c>
    </row>
    <row r="483" ht="21" customHeight="1" spans="1:11">
      <c r="A483" s="8">
        <v>8255</v>
      </c>
      <c r="B483" s="8" t="s">
        <v>831</v>
      </c>
      <c r="C483" s="8" t="s">
        <v>42</v>
      </c>
      <c r="E483" s="13" t="s">
        <v>832</v>
      </c>
      <c r="F483" s="20" t="s">
        <v>833</v>
      </c>
      <c r="G483" s="8">
        <v>22</v>
      </c>
      <c r="H483" s="14">
        <f t="shared" si="21"/>
        <v>0.0674386363636364</v>
      </c>
      <c r="I483" s="10">
        <v>2</v>
      </c>
      <c r="J483" s="8">
        <v>75</v>
      </c>
      <c r="K483" s="8">
        <v>1260</v>
      </c>
    </row>
    <row r="484" ht="21" customHeight="1" spans="1:11">
      <c r="A484" s="8">
        <v>8255</v>
      </c>
      <c r="B484" s="8" t="s">
        <v>834</v>
      </c>
      <c r="C484" s="8" t="s">
        <v>42</v>
      </c>
      <c r="E484" s="13" t="s">
        <v>835</v>
      </c>
      <c r="F484" s="20" t="s">
        <v>809</v>
      </c>
      <c r="G484" s="8">
        <v>7</v>
      </c>
      <c r="H484" s="14">
        <f t="shared" si="21"/>
        <v>0.628785</v>
      </c>
      <c r="I484" s="10">
        <v>2.5</v>
      </c>
      <c r="J484" s="8">
        <v>178</v>
      </c>
      <c r="K484" s="8">
        <v>1260</v>
      </c>
    </row>
    <row r="485" ht="21" customHeight="1" spans="1:11">
      <c r="A485" s="8">
        <v>8255</v>
      </c>
      <c r="B485" s="8" t="s">
        <v>836</v>
      </c>
      <c r="C485" s="8" t="s">
        <v>42</v>
      </c>
      <c r="E485" s="13" t="s">
        <v>808</v>
      </c>
      <c r="F485" s="20" t="s">
        <v>324</v>
      </c>
      <c r="G485" s="8">
        <v>10</v>
      </c>
      <c r="H485" s="14">
        <f t="shared" si="21"/>
        <v>0.3521196</v>
      </c>
      <c r="I485" s="10">
        <v>2</v>
      </c>
      <c r="J485" s="8">
        <v>178</v>
      </c>
      <c r="K485" s="8">
        <v>1260</v>
      </c>
    </row>
    <row r="486" ht="21" customHeight="1" spans="1:11">
      <c r="A486" s="8">
        <v>8255</v>
      </c>
      <c r="B486" s="8" t="s">
        <v>837</v>
      </c>
      <c r="C486" s="8" t="s">
        <v>42</v>
      </c>
      <c r="E486" s="13" t="s">
        <v>808</v>
      </c>
      <c r="F486" s="20" t="s">
        <v>324</v>
      </c>
      <c r="G486" s="8">
        <v>16</v>
      </c>
      <c r="H486" s="14">
        <f t="shared" si="21"/>
        <v>0.22007475</v>
      </c>
      <c r="I486" s="10">
        <v>2</v>
      </c>
      <c r="J486" s="8">
        <v>178</v>
      </c>
      <c r="K486" s="8">
        <v>1260</v>
      </c>
    </row>
    <row r="487" ht="21" customHeight="1" spans="1:11">
      <c r="A487" s="8">
        <v>8255</v>
      </c>
      <c r="B487" s="8" t="s">
        <v>812</v>
      </c>
      <c r="C487" s="8" t="s">
        <v>42</v>
      </c>
      <c r="E487" s="13" t="s">
        <v>813</v>
      </c>
      <c r="F487" s="20" t="s">
        <v>139</v>
      </c>
      <c r="G487" s="8">
        <v>50</v>
      </c>
      <c r="H487" s="14">
        <f t="shared" si="21"/>
        <v>0.13293504</v>
      </c>
      <c r="I487" s="10">
        <v>3.5</v>
      </c>
      <c r="J487" s="8">
        <v>192</v>
      </c>
      <c r="K487" s="8">
        <v>1260</v>
      </c>
    </row>
    <row r="488" ht="21" customHeight="1" spans="1:11">
      <c r="A488" s="42" t="s">
        <v>838</v>
      </c>
      <c r="B488" s="42" t="s">
        <v>829</v>
      </c>
      <c r="C488" s="42" t="s">
        <v>42</v>
      </c>
      <c r="D488" s="43"/>
      <c r="E488" s="43" t="s">
        <v>14</v>
      </c>
      <c r="F488" s="66" t="s">
        <v>15</v>
      </c>
      <c r="G488" s="42">
        <v>6</v>
      </c>
      <c r="H488" s="62">
        <f t="shared" si="21"/>
        <v>2.060625</v>
      </c>
      <c r="I488" s="45">
        <v>2.5</v>
      </c>
      <c r="J488" s="42">
        <v>500</v>
      </c>
      <c r="K488" s="42">
        <v>1260</v>
      </c>
    </row>
    <row r="489" ht="21" customHeight="1" spans="1:11">
      <c r="A489" s="42" t="s">
        <v>838</v>
      </c>
      <c r="B489" s="42" t="s">
        <v>830</v>
      </c>
      <c r="C489" s="42" t="s">
        <v>42</v>
      </c>
      <c r="D489" s="43"/>
      <c r="E489" s="43" t="s">
        <v>32</v>
      </c>
      <c r="F489" s="66" t="s">
        <v>15</v>
      </c>
      <c r="G489" s="42">
        <v>7</v>
      </c>
      <c r="H489" s="62">
        <f t="shared" si="21"/>
        <v>1.76625</v>
      </c>
      <c r="I489" s="45">
        <v>2.5</v>
      </c>
      <c r="J489" s="42">
        <v>500</v>
      </c>
      <c r="K489" s="42">
        <v>1260</v>
      </c>
    </row>
    <row r="490" ht="21" customHeight="1" spans="1:11">
      <c r="A490" s="42" t="s">
        <v>838</v>
      </c>
      <c r="B490" s="42" t="s">
        <v>831</v>
      </c>
      <c r="C490" s="42" t="s">
        <v>42</v>
      </c>
      <c r="D490" s="43"/>
      <c r="E490" s="43" t="s">
        <v>832</v>
      </c>
      <c r="F490" s="66" t="s">
        <v>839</v>
      </c>
      <c r="G490" s="42">
        <v>20</v>
      </c>
      <c r="H490" s="62">
        <f t="shared" si="21"/>
        <v>0.0741825</v>
      </c>
      <c r="I490" s="45">
        <v>2</v>
      </c>
      <c r="J490" s="42">
        <v>75</v>
      </c>
      <c r="K490" s="42">
        <v>1260</v>
      </c>
    </row>
    <row r="491" ht="21" customHeight="1" spans="1:11">
      <c r="A491" s="42" t="s">
        <v>838</v>
      </c>
      <c r="B491" s="42" t="s">
        <v>834</v>
      </c>
      <c r="C491" s="42" t="s">
        <v>42</v>
      </c>
      <c r="D491" s="43"/>
      <c r="E491" s="43" t="s">
        <v>835</v>
      </c>
      <c r="F491" s="66" t="s">
        <v>809</v>
      </c>
      <c r="G491" s="42">
        <v>7</v>
      </c>
      <c r="H491" s="62">
        <f t="shared" si="21"/>
        <v>0.628785</v>
      </c>
      <c r="I491" s="45">
        <v>2.5</v>
      </c>
      <c r="J491" s="42">
        <v>178</v>
      </c>
      <c r="K491" s="42">
        <v>1260</v>
      </c>
    </row>
    <row r="492" ht="21" customHeight="1" spans="1:11">
      <c r="A492" s="42" t="s">
        <v>838</v>
      </c>
      <c r="B492" s="42" t="s">
        <v>836</v>
      </c>
      <c r="C492" s="42" t="s">
        <v>42</v>
      </c>
      <c r="D492" s="43"/>
      <c r="E492" s="43" t="s">
        <v>808</v>
      </c>
      <c r="F492" s="66" t="s">
        <v>324</v>
      </c>
      <c r="G492" s="42">
        <v>10</v>
      </c>
      <c r="H492" s="62">
        <f t="shared" si="21"/>
        <v>0.3521196</v>
      </c>
      <c r="I492" s="45">
        <v>2</v>
      </c>
      <c r="J492" s="42">
        <v>178</v>
      </c>
      <c r="K492" s="42">
        <v>1260</v>
      </c>
    </row>
    <row r="493" ht="21" customHeight="1" spans="1:11">
      <c r="A493" s="42" t="s">
        <v>838</v>
      </c>
      <c r="B493" s="42" t="s">
        <v>837</v>
      </c>
      <c r="C493" s="42" t="s">
        <v>42</v>
      </c>
      <c r="D493" s="43"/>
      <c r="E493" s="43" t="s">
        <v>808</v>
      </c>
      <c r="F493" s="66" t="s">
        <v>324</v>
      </c>
      <c r="G493" s="42">
        <v>5</v>
      </c>
      <c r="H493" s="62">
        <f t="shared" si="21"/>
        <v>0.7042392</v>
      </c>
      <c r="I493" s="45">
        <v>2</v>
      </c>
      <c r="J493" s="42">
        <v>178</v>
      </c>
      <c r="K493" s="42">
        <v>1260</v>
      </c>
    </row>
    <row r="494" ht="21" customHeight="1" spans="1:11">
      <c r="A494" s="42" t="s">
        <v>838</v>
      </c>
      <c r="B494" s="42" t="s">
        <v>812</v>
      </c>
      <c r="C494" s="42" t="s">
        <v>42</v>
      </c>
      <c r="D494" s="43"/>
      <c r="E494" s="43" t="s">
        <v>813</v>
      </c>
      <c r="F494" s="66" t="s">
        <v>139</v>
      </c>
      <c r="G494" s="42">
        <v>50</v>
      </c>
      <c r="H494" s="62">
        <f t="shared" si="21"/>
        <v>0.13293504</v>
      </c>
      <c r="I494" s="45">
        <v>3.5</v>
      </c>
      <c r="J494" s="42">
        <v>192</v>
      </c>
      <c r="K494" s="42">
        <v>1260</v>
      </c>
    </row>
    <row r="495" ht="21" customHeight="1" spans="1:11">
      <c r="A495" s="8">
        <v>8257</v>
      </c>
      <c r="B495" s="8" t="s">
        <v>840</v>
      </c>
      <c r="C495" s="8" t="s">
        <v>42</v>
      </c>
      <c r="E495" s="13" t="s">
        <v>14</v>
      </c>
      <c r="F495" s="20" t="s">
        <v>279</v>
      </c>
      <c r="G495" s="8">
        <v>35</v>
      </c>
      <c r="H495" s="14">
        <f t="shared" si="21"/>
        <v>2.80357142857143</v>
      </c>
      <c r="I495" s="10">
        <v>4</v>
      </c>
      <c r="J495" s="8">
        <v>1250</v>
      </c>
      <c r="K495" s="8">
        <v>2500</v>
      </c>
    </row>
    <row r="496" ht="21" customHeight="1" spans="1:11">
      <c r="A496" s="8">
        <v>8257</v>
      </c>
      <c r="B496" s="8" t="s">
        <v>841</v>
      </c>
      <c r="C496" s="8" t="s">
        <v>42</v>
      </c>
      <c r="E496" s="13" t="s">
        <v>822</v>
      </c>
      <c r="F496" s="20"/>
      <c r="H496" s="14"/>
    </row>
    <row r="497" ht="21" customHeight="1" spans="1:16">
      <c r="A497" s="8">
        <v>8258</v>
      </c>
      <c r="B497" s="8" t="s">
        <v>842</v>
      </c>
      <c r="C497" s="8" t="s">
        <v>42</v>
      </c>
      <c r="E497" s="13" t="s">
        <v>14</v>
      </c>
      <c r="F497" s="20" t="s">
        <v>122</v>
      </c>
      <c r="G497" s="8">
        <v>4</v>
      </c>
      <c r="H497" s="14">
        <f t="shared" si="21"/>
        <v>2.206929375</v>
      </c>
      <c r="I497" s="10">
        <v>2.5</v>
      </c>
      <c r="J497" s="8">
        <v>357</v>
      </c>
      <c r="K497" s="8">
        <v>1260</v>
      </c>
    </row>
    <row r="498" ht="21" customHeight="1" spans="1:16">
      <c r="A498" s="8">
        <v>8258</v>
      </c>
      <c r="B498" s="8" t="s">
        <v>843</v>
      </c>
      <c r="C498" s="8" t="s">
        <v>42</v>
      </c>
      <c r="E498" s="13" t="s">
        <v>32</v>
      </c>
      <c r="F498" s="20" t="s">
        <v>122</v>
      </c>
      <c r="G498" s="8">
        <v>4</v>
      </c>
      <c r="H498" s="14">
        <f t="shared" si="21"/>
        <v>2.206929375</v>
      </c>
      <c r="I498" s="10">
        <v>2.5</v>
      </c>
      <c r="J498" s="8">
        <v>357</v>
      </c>
      <c r="K498" s="8">
        <v>1260</v>
      </c>
    </row>
    <row r="499" ht="21" customHeight="1" spans="1:16">
      <c r="A499" s="42">
        <v>8259</v>
      </c>
      <c r="B499" s="42" t="s">
        <v>844</v>
      </c>
      <c r="C499" s="42" t="s">
        <v>42</v>
      </c>
      <c r="D499" s="43"/>
      <c r="E499" s="43" t="s">
        <v>14</v>
      </c>
      <c r="F499" s="66" t="s">
        <v>122</v>
      </c>
      <c r="G499" s="42">
        <v>7</v>
      </c>
      <c r="H499" s="62">
        <f t="shared" si="21"/>
        <v>1.2611025</v>
      </c>
      <c r="I499" s="45">
        <v>2.5</v>
      </c>
      <c r="J499" s="42">
        <v>357</v>
      </c>
      <c r="K499" s="42">
        <v>1260</v>
      </c>
    </row>
    <row r="500" ht="21" customHeight="1" spans="1:16">
      <c r="A500" s="42">
        <v>8259</v>
      </c>
      <c r="B500" s="42" t="s">
        <v>845</v>
      </c>
      <c r="C500" s="42" t="s">
        <v>42</v>
      </c>
      <c r="D500" s="43"/>
      <c r="E500" s="43" t="s">
        <v>32</v>
      </c>
      <c r="F500" s="66" t="s">
        <v>122</v>
      </c>
      <c r="G500" s="42">
        <v>7</v>
      </c>
      <c r="H500" s="62">
        <f t="shared" si="21"/>
        <v>1.2611025</v>
      </c>
      <c r="I500" s="45">
        <v>2.5</v>
      </c>
      <c r="J500" s="42">
        <v>357</v>
      </c>
      <c r="K500" s="42">
        <v>1260</v>
      </c>
    </row>
    <row r="501" ht="21" customHeight="1" spans="1:16">
      <c r="A501" s="8">
        <v>8262</v>
      </c>
      <c r="B501" s="8" t="s">
        <v>846</v>
      </c>
      <c r="C501" s="8" t="s">
        <v>42</v>
      </c>
      <c r="E501" s="13" t="s">
        <v>14</v>
      </c>
      <c r="F501" s="20"/>
      <c r="G501" s="8">
        <v>20</v>
      </c>
      <c r="H501" s="14">
        <f t="shared" si="21"/>
        <v>4.29296875</v>
      </c>
      <c r="I501" s="10">
        <v>3.5</v>
      </c>
      <c r="J501" s="8">
        <v>1250</v>
      </c>
      <c r="K501" s="8">
        <v>2500</v>
      </c>
      <c r="O501" s="36"/>
    </row>
    <row r="502" ht="21" customHeight="1" spans="1:16">
      <c r="A502" s="8">
        <v>8262</v>
      </c>
      <c r="B502" s="8" t="s">
        <v>847</v>
      </c>
      <c r="C502" s="8" t="s">
        <v>42</v>
      </c>
      <c r="E502" s="13" t="s">
        <v>32</v>
      </c>
      <c r="F502" s="20"/>
      <c r="G502" s="8">
        <v>22</v>
      </c>
      <c r="H502" s="14">
        <f t="shared" si="21"/>
        <v>4.46022727272727</v>
      </c>
      <c r="I502" s="10">
        <v>4</v>
      </c>
      <c r="J502" s="8">
        <v>1250</v>
      </c>
      <c r="K502" s="8">
        <v>2500</v>
      </c>
      <c r="O502" s="36"/>
    </row>
    <row r="503" ht="21" customHeight="1" spans="1:16">
      <c r="A503" s="8">
        <v>8263</v>
      </c>
      <c r="B503" s="8" t="s">
        <v>848</v>
      </c>
      <c r="C503" s="8" t="s">
        <v>42</v>
      </c>
      <c r="E503" s="13" t="s">
        <v>14</v>
      </c>
      <c r="F503" s="20" t="s">
        <v>122</v>
      </c>
      <c r="G503" s="8">
        <v>4</v>
      </c>
      <c r="H503" s="14">
        <f t="shared" si="21"/>
        <v>2.206929375</v>
      </c>
      <c r="I503" s="10">
        <v>2.5</v>
      </c>
      <c r="J503" s="8">
        <v>357</v>
      </c>
      <c r="K503" s="8">
        <v>1260</v>
      </c>
      <c r="L503" s="67"/>
    </row>
    <row r="504" ht="21" customHeight="1" spans="1:16">
      <c r="A504" s="8">
        <v>8263</v>
      </c>
      <c r="B504" s="8" t="s">
        <v>849</v>
      </c>
      <c r="C504" s="8" t="s">
        <v>42</v>
      </c>
      <c r="E504" s="13" t="s">
        <v>32</v>
      </c>
      <c r="F504" s="20" t="s">
        <v>122</v>
      </c>
      <c r="G504" s="8">
        <v>4</v>
      </c>
      <c r="H504" s="14">
        <f t="shared" si="21"/>
        <v>2.206929375</v>
      </c>
      <c r="I504" s="10">
        <v>2.5</v>
      </c>
      <c r="J504" s="8">
        <v>357</v>
      </c>
      <c r="K504" s="8">
        <v>1260</v>
      </c>
      <c r="L504" s="67"/>
    </row>
    <row r="505" ht="21" customHeight="1" spans="1:16">
      <c r="A505" s="8">
        <v>8263</v>
      </c>
      <c r="B505" s="8" t="s">
        <v>850</v>
      </c>
      <c r="C505" s="8" t="s">
        <v>42</v>
      </c>
      <c r="E505" s="13" t="s">
        <v>832</v>
      </c>
      <c r="F505" s="20" t="s">
        <v>851</v>
      </c>
      <c r="G505" s="8">
        <v>14</v>
      </c>
      <c r="H505" s="14">
        <f t="shared" si="21"/>
        <v>0.4104765</v>
      </c>
      <c r="I505" s="10">
        <v>3.5</v>
      </c>
      <c r="J505" s="8">
        <v>166</v>
      </c>
      <c r="K505" s="8">
        <v>1260</v>
      </c>
      <c r="L505" s="67"/>
    </row>
    <row r="506" ht="21" customHeight="1" spans="1:16">
      <c r="A506" s="8">
        <v>8263</v>
      </c>
      <c r="B506" s="8" t="s">
        <v>852</v>
      </c>
      <c r="C506" s="8" t="s">
        <v>42</v>
      </c>
      <c r="E506" s="13" t="s">
        <v>853</v>
      </c>
      <c r="F506" s="20" t="s">
        <v>854</v>
      </c>
      <c r="G506" s="8">
        <v>28</v>
      </c>
      <c r="H506" s="14">
        <f t="shared" si="21"/>
        <v>0.181747125</v>
      </c>
      <c r="I506" s="10">
        <v>3.5</v>
      </c>
      <c r="J506" s="8">
        <v>147</v>
      </c>
      <c r="K506" s="8">
        <v>1260</v>
      </c>
      <c r="L506" s="67"/>
    </row>
    <row r="507" ht="21" customHeight="1" spans="1:16">
      <c r="A507" s="42" t="s">
        <v>855</v>
      </c>
      <c r="B507" s="42" t="s">
        <v>848</v>
      </c>
      <c r="C507" s="42" t="s">
        <v>42</v>
      </c>
      <c r="D507" s="43"/>
      <c r="E507" s="43" t="s">
        <v>14</v>
      </c>
      <c r="F507" s="66" t="s">
        <v>33</v>
      </c>
      <c r="G507" s="42">
        <v>4</v>
      </c>
      <c r="H507" s="62">
        <f t="shared" si="21"/>
        <v>2.57166</v>
      </c>
      <c r="I507" s="45">
        <v>2.5</v>
      </c>
      <c r="J507" s="42">
        <v>416</v>
      </c>
      <c r="K507" s="42">
        <v>1260</v>
      </c>
      <c r="L507" s="67"/>
      <c r="P507" s="43"/>
    </row>
    <row r="508" ht="21" customHeight="1" spans="1:16">
      <c r="A508" s="42" t="s">
        <v>855</v>
      </c>
      <c r="B508" s="42" t="s">
        <v>849</v>
      </c>
      <c r="C508" s="42" t="s">
        <v>42</v>
      </c>
      <c r="D508" s="43"/>
      <c r="E508" s="43" t="s">
        <v>32</v>
      </c>
      <c r="F508" s="66" t="s">
        <v>33</v>
      </c>
      <c r="G508" s="42">
        <v>4</v>
      </c>
      <c r="H508" s="62">
        <f t="shared" si="21"/>
        <v>2.57166</v>
      </c>
      <c r="I508" s="45">
        <v>2.5</v>
      </c>
      <c r="J508" s="42">
        <v>416</v>
      </c>
      <c r="K508" s="42">
        <v>1260</v>
      </c>
      <c r="L508" s="67"/>
      <c r="P508" s="43"/>
    </row>
    <row r="509" ht="21" customHeight="1" spans="1:16">
      <c r="A509" s="42" t="s">
        <v>855</v>
      </c>
      <c r="B509" s="42" t="s">
        <v>850</v>
      </c>
      <c r="C509" s="42" t="s">
        <v>42</v>
      </c>
      <c r="D509" s="43"/>
      <c r="E509" s="43" t="s">
        <v>832</v>
      </c>
      <c r="F509" s="66" t="s">
        <v>851</v>
      </c>
      <c r="G509" s="42">
        <v>10</v>
      </c>
      <c r="H509" s="62">
        <f t="shared" si="21"/>
        <v>0.5746671</v>
      </c>
      <c r="I509" s="45">
        <v>3.5</v>
      </c>
      <c r="J509" s="42">
        <v>166</v>
      </c>
      <c r="K509" s="42">
        <v>1260</v>
      </c>
      <c r="L509" s="67"/>
      <c r="P509" s="43"/>
    </row>
    <row r="510" ht="21" customHeight="1" spans="1:16">
      <c r="A510" s="42" t="s">
        <v>855</v>
      </c>
      <c r="B510" s="42" t="s">
        <v>852</v>
      </c>
      <c r="C510" s="42" t="s">
        <v>42</v>
      </c>
      <c r="D510" s="43"/>
      <c r="E510" s="43" t="s">
        <v>853</v>
      </c>
      <c r="F510" s="66" t="s">
        <v>854</v>
      </c>
      <c r="G510" s="42">
        <v>20</v>
      </c>
      <c r="H510" s="62">
        <f t="shared" si="21"/>
        <v>0.254445975</v>
      </c>
      <c r="I510" s="45">
        <v>3.5</v>
      </c>
      <c r="J510" s="42">
        <v>147</v>
      </c>
      <c r="K510" s="42">
        <v>1260</v>
      </c>
      <c r="L510" s="67"/>
      <c r="P510" s="43"/>
    </row>
    <row r="511" ht="21" customHeight="1" spans="1:16">
      <c r="A511" s="42" t="s">
        <v>856</v>
      </c>
      <c r="B511" s="42" t="s">
        <v>857</v>
      </c>
      <c r="C511" s="42" t="s">
        <v>42</v>
      </c>
      <c r="D511" s="43"/>
      <c r="E511" s="43" t="s">
        <v>14</v>
      </c>
      <c r="F511" s="66" t="s">
        <v>33</v>
      </c>
      <c r="G511" s="42">
        <v>4</v>
      </c>
      <c r="H511" s="62">
        <f t="shared" si="21"/>
        <v>2.57166</v>
      </c>
      <c r="I511" s="45">
        <v>2.5</v>
      </c>
      <c r="J511" s="42">
        <v>416</v>
      </c>
      <c r="K511" s="42">
        <v>1260</v>
      </c>
      <c r="L511" s="67"/>
      <c r="P511" s="43"/>
    </row>
    <row r="512" ht="21" customHeight="1" spans="1:16">
      <c r="A512" s="42" t="s">
        <v>856</v>
      </c>
      <c r="B512" s="42" t="s">
        <v>858</v>
      </c>
      <c r="C512" s="42" t="s">
        <v>42</v>
      </c>
      <c r="D512" s="43"/>
      <c r="E512" s="43" t="s">
        <v>32</v>
      </c>
      <c r="F512" s="66" t="s">
        <v>33</v>
      </c>
      <c r="G512" s="42">
        <v>4</v>
      </c>
      <c r="H512" s="62">
        <f t="shared" si="21"/>
        <v>2.57166</v>
      </c>
      <c r="I512" s="45">
        <v>2.5</v>
      </c>
      <c r="J512" s="42">
        <v>416</v>
      </c>
      <c r="K512" s="42">
        <v>1260</v>
      </c>
      <c r="L512" s="67"/>
      <c r="P512" s="43"/>
    </row>
    <row r="513" ht="21" customHeight="1" spans="1:16">
      <c r="A513" s="42" t="s">
        <v>856</v>
      </c>
      <c r="B513" s="42" t="s">
        <v>859</v>
      </c>
      <c r="C513" s="42" t="s">
        <v>42</v>
      </c>
      <c r="D513" s="43"/>
      <c r="E513" s="43" t="s">
        <v>160</v>
      </c>
      <c r="F513" s="66" t="s">
        <v>340</v>
      </c>
      <c r="G513" s="42">
        <v>19</v>
      </c>
      <c r="H513" s="62">
        <f t="shared" si="21"/>
        <v>0.293083881578947</v>
      </c>
      <c r="I513" s="45">
        <v>2.5</v>
      </c>
      <c r="J513" s="42">
        <v>227</v>
      </c>
      <c r="K513" s="42">
        <v>1250</v>
      </c>
      <c r="L513" s="67"/>
      <c r="P513" s="43"/>
    </row>
    <row r="514" ht="21" customHeight="1" spans="1:16">
      <c r="A514" s="8">
        <v>8268</v>
      </c>
      <c r="B514" s="8" t="s">
        <v>857</v>
      </c>
      <c r="C514" s="8" t="s">
        <v>42</v>
      </c>
      <c r="E514" s="13" t="s">
        <v>14</v>
      </c>
      <c r="F514" s="20" t="s">
        <v>33</v>
      </c>
      <c r="G514" s="8">
        <v>4</v>
      </c>
      <c r="H514" s="14">
        <f t="shared" si="21"/>
        <v>2.57166</v>
      </c>
      <c r="I514" s="10">
        <v>2.5</v>
      </c>
      <c r="J514" s="8">
        <v>416</v>
      </c>
      <c r="K514" s="8">
        <v>1260</v>
      </c>
      <c r="L514" s="67"/>
      <c r="P514" s="13"/>
    </row>
    <row r="515" ht="21" customHeight="1" spans="1:16">
      <c r="A515" s="8">
        <v>8268</v>
      </c>
      <c r="B515" s="8" t="s">
        <v>858</v>
      </c>
      <c r="C515" s="8" t="s">
        <v>42</v>
      </c>
      <c r="E515" s="13" t="s">
        <v>32</v>
      </c>
      <c r="F515" s="20" t="s">
        <v>33</v>
      </c>
      <c r="G515" s="8">
        <v>4</v>
      </c>
      <c r="H515" s="14">
        <f t="shared" si="21"/>
        <v>2.57166</v>
      </c>
      <c r="I515" s="10">
        <v>2.5</v>
      </c>
      <c r="J515" s="8">
        <v>416</v>
      </c>
      <c r="K515" s="8">
        <v>1260</v>
      </c>
      <c r="L515" s="67"/>
      <c r="P515" s="13"/>
    </row>
    <row r="516" ht="21" customHeight="1" spans="1:16">
      <c r="A516" s="8">
        <v>8268</v>
      </c>
      <c r="B516" s="8" t="s">
        <v>859</v>
      </c>
      <c r="C516" s="8" t="s">
        <v>42</v>
      </c>
      <c r="E516" s="13" t="s">
        <v>160</v>
      </c>
      <c r="F516" s="20" t="s">
        <v>860</v>
      </c>
      <c r="G516" s="8">
        <v>19</v>
      </c>
      <c r="H516" s="14">
        <f t="shared" si="21"/>
        <v>0.270701052631579</v>
      </c>
      <c r="I516" s="10">
        <v>2.5</v>
      </c>
      <c r="J516" s="8">
        <v>208</v>
      </c>
      <c r="K516" s="8">
        <v>1260</v>
      </c>
      <c r="L516" s="67"/>
      <c r="P516" s="13"/>
    </row>
    <row r="517" ht="21" customHeight="1" spans="1:16">
      <c r="A517" s="8">
        <v>8270</v>
      </c>
      <c r="B517" s="8" t="s">
        <v>861</v>
      </c>
      <c r="C517" s="8" t="s">
        <v>42</v>
      </c>
      <c r="E517" s="13" t="s">
        <v>14</v>
      </c>
      <c r="F517" s="8" t="s">
        <v>659</v>
      </c>
      <c r="G517" s="8">
        <v>6</v>
      </c>
      <c r="H517" s="14">
        <f t="shared" si="21"/>
        <v>2.4492</v>
      </c>
      <c r="I517" s="10">
        <v>3</v>
      </c>
      <c r="J517" s="8">
        <v>416</v>
      </c>
      <c r="K517" s="8">
        <v>1500</v>
      </c>
      <c r="L517" s="67"/>
      <c r="P517" s="13"/>
    </row>
    <row r="518" ht="21" customHeight="1" spans="1:16">
      <c r="A518" s="8">
        <v>8270</v>
      </c>
      <c r="B518" s="8" t="s">
        <v>862</v>
      </c>
      <c r="C518" s="8" t="s">
        <v>42</v>
      </c>
      <c r="E518" s="13" t="s">
        <v>32</v>
      </c>
      <c r="F518" s="8" t="s">
        <v>57</v>
      </c>
      <c r="G518" s="8">
        <v>6</v>
      </c>
      <c r="H518" s="14">
        <f t="shared" si="21"/>
        <v>2.041</v>
      </c>
      <c r="I518" s="10">
        <v>2.5</v>
      </c>
      <c r="J518" s="8">
        <v>416</v>
      </c>
      <c r="K518" s="8">
        <v>1500</v>
      </c>
      <c r="L518" s="67"/>
      <c r="P518" s="13"/>
    </row>
    <row r="519" ht="21" customHeight="1" spans="1:16">
      <c r="A519" s="8">
        <v>8270</v>
      </c>
      <c r="B519" s="8" t="s">
        <v>863</v>
      </c>
      <c r="C519" s="8" t="s">
        <v>42</v>
      </c>
      <c r="E519" s="13" t="s">
        <v>864</v>
      </c>
      <c r="F519" s="8" t="s">
        <v>865</v>
      </c>
      <c r="G519" s="8">
        <v>43</v>
      </c>
      <c r="H519" s="14">
        <f t="shared" si="21"/>
        <v>0.069006976744186</v>
      </c>
      <c r="I519" s="10">
        <v>3</v>
      </c>
      <c r="J519" s="8">
        <v>100</v>
      </c>
      <c r="K519" s="8">
        <v>1260</v>
      </c>
      <c r="L519" s="67"/>
      <c r="P519" s="13"/>
    </row>
    <row r="520" ht="21" customHeight="1" spans="1:16">
      <c r="A520" s="8">
        <v>8271</v>
      </c>
      <c r="B520" s="8" t="s">
        <v>866</v>
      </c>
      <c r="C520" s="8" t="s">
        <v>42</v>
      </c>
      <c r="E520" s="13" t="s">
        <v>14</v>
      </c>
      <c r="F520" s="8" t="s">
        <v>168</v>
      </c>
      <c r="G520" s="8">
        <v>6</v>
      </c>
      <c r="H520" s="14">
        <f t="shared" si="21"/>
        <v>2.1018375</v>
      </c>
      <c r="I520" s="10">
        <v>3</v>
      </c>
      <c r="J520" s="8">
        <v>357</v>
      </c>
      <c r="K520" s="8">
        <v>1500</v>
      </c>
      <c r="L520" s="67"/>
      <c r="P520" s="13"/>
    </row>
    <row r="521" ht="21" customHeight="1" spans="1:16">
      <c r="A521" s="8">
        <v>8271</v>
      </c>
      <c r="B521" s="8" t="s">
        <v>867</v>
      </c>
      <c r="C521" s="8" t="s">
        <v>42</v>
      </c>
      <c r="E521" s="13" t="s">
        <v>32</v>
      </c>
      <c r="F521" s="8" t="s">
        <v>868</v>
      </c>
      <c r="G521" s="8">
        <v>6</v>
      </c>
      <c r="H521" s="14">
        <f t="shared" si="21"/>
        <v>1.75153125</v>
      </c>
      <c r="I521" s="10">
        <v>2.5</v>
      </c>
      <c r="J521" s="8">
        <v>357</v>
      </c>
      <c r="K521" s="8">
        <v>1500</v>
      </c>
      <c r="L521" s="67"/>
      <c r="P521" s="13"/>
    </row>
    <row r="522" ht="21" customHeight="1" spans="1:16">
      <c r="A522" s="8">
        <v>8271</v>
      </c>
      <c r="B522" s="8" t="s">
        <v>869</v>
      </c>
      <c r="C522" s="8" t="s">
        <v>42</v>
      </c>
      <c r="E522" s="13" t="s">
        <v>864</v>
      </c>
      <c r="F522" s="8" t="s">
        <v>870</v>
      </c>
      <c r="G522" s="8">
        <v>35</v>
      </c>
      <c r="H522" s="14">
        <f t="shared" si="21"/>
        <v>0.1220832</v>
      </c>
      <c r="I522" s="10">
        <v>4</v>
      </c>
      <c r="J522" s="8">
        <v>108</v>
      </c>
      <c r="K522" s="8">
        <v>1260</v>
      </c>
      <c r="L522" s="67"/>
      <c r="P522" s="13"/>
    </row>
    <row r="523" ht="21" customHeight="1" spans="1:16">
      <c r="A523" s="8">
        <v>8273</v>
      </c>
      <c r="B523" s="8" t="s">
        <v>871</v>
      </c>
      <c r="C523" s="8" t="s">
        <v>42</v>
      </c>
      <c r="E523" s="13" t="s">
        <v>14</v>
      </c>
      <c r="F523" s="20" t="s">
        <v>33</v>
      </c>
      <c r="G523" s="8">
        <v>4</v>
      </c>
      <c r="H523" s="14">
        <f>J523*K523*7.85*I523/G523/1000000</f>
        <v>2.57166</v>
      </c>
      <c r="I523" s="10">
        <v>2.5</v>
      </c>
      <c r="J523" s="8">
        <v>416</v>
      </c>
      <c r="K523" s="8">
        <v>1260</v>
      </c>
      <c r="L523" s="67"/>
      <c r="P523" s="13"/>
    </row>
    <row r="524" ht="21" customHeight="1" spans="1:16">
      <c r="A524" s="8">
        <v>8273</v>
      </c>
      <c r="B524" s="8" t="s">
        <v>872</v>
      </c>
      <c r="C524" s="8" t="s">
        <v>42</v>
      </c>
      <c r="E524" s="13" t="s">
        <v>32</v>
      </c>
      <c r="F524" s="20" t="s">
        <v>33</v>
      </c>
      <c r="G524" s="8">
        <v>4</v>
      </c>
      <c r="H524" s="14">
        <f>J524*K524*7.85*I524/G524/1000000</f>
        <v>2.57166</v>
      </c>
      <c r="I524" s="10">
        <v>2.5</v>
      </c>
      <c r="J524" s="8">
        <v>416</v>
      </c>
      <c r="K524" s="8">
        <v>1260</v>
      </c>
      <c r="L524" s="67"/>
      <c r="P524" s="13"/>
    </row>
    <row r="525" ht="21" customHeight="1" spans="1:16">
      <c r="A525" s="8">
        <v>8273</v>
      </c>
      <c r="B525" s="8" t="s">
        <v>873</v>
      </c>
      <c r="C525" s="8" t="s">
        <v>42</v>
      </c>
      <c r="E525" s="13" t="s">
        <v>160</v>
      </c>
      <c r="F525" s="20" t="s">
        <v>80</v>
      </c>
      <c r="G525" s="8">
        <v>8</v>
      </c>
      <c r="H525" s="14">
        <f>J525*K525*7.85*I525/G525/1000000</f>
        <v>0.8561896875</v>
      </c>
      <c r="I525" s="10">
        <v>2.5</v>
      </c>
      <c r="J525" s="8">
        <v>277</v>
      </c>
      <c r="K525" s="8">
        <v>1260</v>
      </c>
      <c r="L525" s="67"/>
      <c r="P525" s="13"/>
    </row>
    <row r="526" ht="21" customHeight="1" spans="1:16">
      <c r="A526" s="8" t="s">
        <v>874</v>
      </c>
      <c r="B526" s="8" t="s">
        <v>871</v>
      </c>
      <c r="C526" s="8" t="s">
        <v>42</v>
      </c>
      <c r="E526" s="13" t="s">
        <v>14</v>
      </c>
      <c r="F526" s="20" t="s">
        <v>33</v>
      </c>
      <c r="G526" s="8">
        <v>4</v>
      </c>
      <c r="H526" s="14">
        <f>J526*K526*7.85*I526/G526/1000000</f>
        <v>2.57166</v>
      </c>
      <c r="I526" s="10">
        <v>2.5</v>
      </c>
      <c r="J526" s="8">
        <v>416</v>
      </c>
      <c r="K526" s="8">
        <v>1260</v>
      </c>
      <c r="L526" s="67"/>
      <c r="P526" s="13"/>
    </row>
    <row r="527" ht="21" customHeight="1" spans="1:16">
      <c r="A527" s="8" t="s">
        <v>874</v>
      </c>
      <c r="B527" s="8" t="s">
        <v>872</v>
      </c>
      <c r="C527" s="8" t="s">
        <v>42</v>
      </c>
      <c r="E527" s="13" t="s">
        <v>32</v>
      </c>
      <c r="F527" s="20" t="s">
        <v>33</v>
      </c>
      <c r="G527" s="8">
        <v>4</v>
      </c>
      <c r="H527" s="14">
        <f>J527*K527*7.85*I527/G527/1000000</f>
        <v>2.57166</v>
      </c>
      <c r="I527" s="10">
        <v>2.5</v>
      </c>
      <c r="J527" s="8">
        <v>416</v>
      </c>
      <c r="K527" s="8">
        <v>1260</v>
      </c>
      <c r="L527" s="67"/>
      <c r="P527" s="13"/>
    </row>
    <row r="528" ht="21" customHeight="1" spans="1:16">
      <c r="A528" s="8" t="s">
        <v>874</v>
      </c>
      <c r="B528" s="8" t="s">
        <v>873</v>
      </c>
      <c r="C528" s="8" t="s">
        <v>42</v>
      </c>
      <c r="E528" s="13" t="s">
        <v>160</v>
      </c>
      <c r="F528" s="20" t="s">
        <v>80</v>
      </c>
      <c r="G528" s="8">
        <v>8</v>
      </c>
      <c r="H528" s="14">
        <f>J528*K528*7.85*I528/G528/1000000</f>
        <v>0.8561896875</v>
      </c>
      <c r="I528" s="10">
        <v>2.5</v>
      </c>
      <c r="J528" s="8">
        <v>277</v>
      </c>
      <c r="K528" s="8">
        <v>1260</v>
      </c>
      <c r="L528" s="67"/>
      <c r="P528" s="13"/>
    </row>
    <row r="529" ht="21" customHeight="1" spans="1:16">
      <c r="A529" s="8">
        <v>8265</v>
      </c>
      <c r="B529" s="8" t="s">
        <v>875</v>
      </c>
      <c r="C529" s="8" t="s">
        <v>42</v>
      </c>
      <c r="D529" s="13" t="s">
        <v>876</v>
      </c>
      <c r="E529" s="13" t="s">
        <v>14</v>
      </c>
      <c r="F529" s="20" t="s">
        <v>334</v>
      </c>
      <c r="G529" s="8">
        <v>2</v>
      </c>
      <c r="H529" s="14">
        <f>J529*K529*7.85*I529/G529/1000000</f>
        <v>4.3273125</v>
      </c>
      <c r="I529" s="10">
        <v>3.5</v>
      </c>
      <c r="J529" s="8">
        <v>500</v>
      </c>
      <c r="K529" s="8">
        <v>630</v>
      </c>
      <c r="L529" s="67"/>
      <c r="P529" s="13"/>
    </row>
    <row r="530" ht="21" customHeight="1" spans="1:16">
      <c r="A530" s="8">
        <v>8274</v>
      </c>
      <c r="B530" s="8" t="s">
        <v>877</v>
      </c>
      <c r="C530" s="8" t="s">
        <v>42</v>
      </c>
      <c r="E530" s="13" t="s">
        <v>14</v>
      </c>
      <c r="F530" s="20" t="s">
        <v>878</v>
      </c>
      <c r="G530" s="8">
        <v>6</v>
      </c>
      <c r="H530" s="14">
        <f>J530*K530*7.85*I530/G530/1000000</f>
        <v>2.971696</v>
      </c>
      <c r="I530" s="10">
        <v>3.5</v>
      </c>
      <c r="J530" s="8">
        <v>416</v>
      </c>
      <c r="K530" s="8">
        <v>1560</v>
      </c>
      <c r="L530" s="67"/>
      <c r="P530" s="13"/>
    </row>
    <row r="531" ht="21" customHeight="1" spans="1:16">
      <c r="A531" s="8">
        <v>8274</v>
      </c>
      <c r="B531" s="8" t="s">
        <v>879</v>
      </c>
      <c r="C531" s="8" t="s">
        <v>42</v>
      </c>
      <c r="E531" s="13" t="s">
        <v>32</v>
      </c>
      <c r="F531" s="20" t="s">
        <v>65</v>
      </c>
      <c r="G531" s="8">
        <v>6</v>
      </c>
      <c r="H531" s="14">
        <f>J531*K531*7.85*I531/G531/1000000</f>
        <v>1.7655435</v>
      </c>
      <c r="I531" s="10">
        <v>3</v>
      </c>
      <c r="J531" s="8">
        <v>357</v>
      </c>
      <c r="K531" s="8">
        <v>1260</v>
      </c>
      <c r="L531" s="67"/>
      <c r="P531" s="13"/>
    </row>
    <row r="532" ht="21" customHeight="1" spans="1:16">
      <c r="A532" s="8">
        <v>8277</v>
      </c>
      <c r="B532" s="8" t="s">
        <v>880</v>
      </c>
      <c r="C532" s="8" t="s">
        <v>42</v>
      </c>
      <c r="D532" s="13" t="s">
        <v>881</v>
      </c>
      <c r="E532" s="13" t="s">
        <v>14</v>
      </c>
      <c r="F532" s="13" t="s">
        <v>529</v>
      </c>
      <c r="G532" s="8">
        <v>6</v>
      </c>
      <c r="H532" s="9">
        <f>J532*K532*7.85*I532/G532/1000000</f>
        <v>2.45214375</v>
      </c>
      <c r="I532" s="10">
        <v>3.5</v>
      </c>
      <c r="J532" s="8">
        <v>357</v>
      </c>
      <c r="K532" s="8">
        <v>1500</v>
      </c>
    </row>
    <row r="533" ht="21" customHeight="1" spans="1:16">
      <c r="A533" s="8">
        <v>8277</v>
      </c>
      <c r="B533" s="8" t="s">
        <v>882</v>
      </c>
      <c r="C533" s="8" t="s">
        <v>42</v>
      </c>
      <c r="D533" s="13" t="s">
        <v>881</v>
      </c>
      <c r="E533" s="13" t="s">
        <v>32</v>
      </c>
      <c r="F533" s="13" t="s">
        <v>536</v>
      </c>
      <c r="G533" s="8">
        <v>9</v>
      </c>
      <c r="H533" s="9">
        <f>J533*K533*7.85*I533/G533/1000000</f>
        <v>1.6485</v>
      </c>
      <c r="I533" s="10">
        <v>3</v>
      </c>
      <c r="J533" s="8">
        <v>500</v>
      </c>
      <c r="K533" s="8">
        <v>1260</v>
      </c>
    </row>
    <row r="534" ht="21" customHeight="1" spans="1:16">
      <c r="A534" s="8">
        <v>8277</v>
      </c>
      <c r="B534" s="8" t="s">
        <v>541</v>
      </c>
      <c r="C534" s="8" t="s">
        <v>42</v>
      </c>
      <c r="D534" s="13" t="s">
        <v>881</v>
      </c>
      <c r="E534" s="13" t="s">
        <v>75</v>
      </c>
      <c r="F534" s="13" t="s">
        <v>312</v>
      </c>
      <c r="G534" s="8">
        <v>18</v>
      </c>
      <c r="H534" s="9">
        <f>J534*K534*7.85*I534/G534/1000000</f>
        <v>0.280245</v>
      </c>
      <c r="I534" s="10">
        <v>3</v>
      </c>
      <c r="J534" s="8">
        <v>170</v>
      </c>
      <c r="K534" s="8">
        <v>1260</v>
      </c>
    </row>
    <row r="535" ht="21" customHeight="1" spans="1:16">
      <c r="A535" s="8">
        <v>8277</v>
      </c>
      <c r="B535" s="8" t="s">
        <v>542</v>
      </c>
      <c r="C535" s="8" t="s">
        <v>42</v>
      </c>
      <c r="D535" s="13" t="s">
        <v>881</v>
      </c>
      <c r="E535" s="13" t="s">
        <v>75</v>
      </c>
      <c r="F535" s="13" t="s">
        <v>312</v>
      </c>
      <c r="G535" s="8">
        <v>21</v>
      </c>
      <c r="H535" s="37">
        <f>J535*K535*7.85*I535/G535/1000000</f>
        <v>0.24021</v>
      </c>
      <c r="I535" s="10">
        <v>3</v>
      </c>
      <c r="J535" s="8">
        <v>170</v>
      </c>
      <c r="K535" s="8">
        <v>1260</v>
      </c>
    </row>
    <row r="536" ht="21" customHeight="1" spans="1:16">
      <c r="A536" s="8">
        <v>8277</v>
      </c>
      <c r="B536" s="8" t="s">
        <v>543</v>
      </c>
      <c r="C536" s="8" t="s">
        <v>42</v>
      </c>
      <c r="D536" s="13" t="s">
        <v>881</v>
      </c>
      <c r="E536" s="13" t="s">
        <v>75</v>
      </c>
      <c r="F536" s="13" t="s">
        <v>238</v>
      </c>
      <c r="G536" s="8">
        <v>12</v>
      </c>
      <c r="H536" s="9">
        <f>J536*K536*7.85*I536/G536/1000000</f>
        <v>0.4401495</v>
      </c>
      <c r="I536" s="10">
        <v>3</v>
      </c>
      <c r="J536" s="8">
        <v>178</v>
      </c>
      <c r="K536" s="8">
        <v>1260</v>
      </c>
    </row>
    <row r="537" ht="21" customHeight="1" spans="1:16">
      <c r="A537" s="39">
        <v>8277</v>
      </c>
      <c r="B537" s="39" t="s">
        <v>544</v>
      </c>
      <c r="C537" s="39" t="s">
        <v>42</v>
      </c>
      <c r="D537" s="40" t="s">
        <v>881</v>
      </c>
      <c r="E537" s="40" t="s">
        <v>75</v>
      </c>
      <c r="F537" s="40"/>
      <c r="G537" s="39"/>
      <c r="H537" s="46"/>
      <c r="I537" s="41"/>
      <c r="J537" s="39"/>
      <c r="K537" s="39"/>
    </row>
    <row r="538" ht="21" customHeight="1" spans="1:16">
      <c r="A538" s="8">
        <v>8278</v>
      </c>
      <c r="B538" s="8" t="s">
        <v>880</v>
      </c>
      <c r="C538" s="8" t="s">
        <v>42</v>
      </c>
      <c r="D538" s="13" t="s">
        <v>881</v>
      </c>
      <c r="E538" s="13" t="s">
        <v>14</v>
      </c>
      <c r="F538" s="13" t="s">
        <v>529</v>
      </c>
      <c r="G538" s="8">
        <v>6</v>
      </c>
      <c r="H538" s="9">
        <f>J538*K538*7.85*I538/G538/1000000</f>
        <v>2.45214375</v>
      </c>
      <c r="I538" s="10">
        <v>3.5</v>
      </c>
      <c r="J538" s="8">
        <v>357</v>
      </c>
      <c r="K538" s="8">
        <v>1500</v>
      </c>
    </row>
    <row r="539" ht="21" customHeight="1" spans="1:16">
      <c r="A539" s="8">
        <v>8278</v>
      </c>
      <c r="B539" s="8" t="s">
        <v>882</v>
      </c>
      <c r="C539" s="8" t="s">
        <v>42</v>
      </c>
      <c r="D539" s="13" t="s">
        <v>881</v>
      </c>
      <c r="E539" s="13" t="s">
        <v>32</v>
      </c>
      <c r="F539" s="13" t="s">
        <v>536</v>
      </c>
      <c r="G539" s="8">
        <v>9</v>
      </c>
      <c r="H539" s="9">
        <f>J539*K539*7.85*I539/G539/1000000</f>
        <v>1.6485</v>
      </c>
      <c r="I539" s="10">
        <v>3</v>
      </c>
      <c r="J539" s="8">
        <v>500</v>
      </c>
      <c r="K539" s="8">
        <v>1260</v>
      </c>
    </row>
    <row r="540" ht="21" customHeight="1" spans="1:16">
      <c r="A540" s="8">
        <v>8278</v>
      </c>
      <c r="B540" s="8" t="s">
        <v>883</v>
      </c>
      <c r="C540" s="8" t="s">
        <v>42</v>
      </c>
      <c r="D540" s="13" t="s">
        <v>884</v>
      </c>
      <c r="E540" s="13" t="s">
        <v>75</v>
      </c>
      <c r="F540" s="13" t="s">
        <v>312</v>
      </c>
      <c r="G540" s="8">
        <v>18</v>
      </c>
      <c r="H540" s="9">
        <f>J540*K540*7.85*I540/G540/1000000</f>
        <v>0.280245</v>
      </c>
      <c r="I540" s="10">
        <v>3</v>
      </c>
      <c r="J540" s="8">
        <v>170</v>
      </c>
      <c r="K540" s="8">
        <v>1260</v>
      </c>
    </row>
    <row r="541" ht="21" customHeight="1" spans="1:16">
      <c r="A541" s="8">
        <v>8278</v>
      </c>
      <c r="B541" s="8" t="s">
        <v>885</v>
      </c>
      <c r="C541" s="8" t="s">
        <v>42</v>
      </c>
      <c r="D541" s="13" t="s">
        <v>884</v>
      </c>
      <c r="E541" s="13" t="s">
        <v>75</v>
      </c>
      <c r="F541" s="13" t="s">
        <v>312</v>
      </c>
      <c r="G541" s="8">
        <v>21</v>
      </c>
      <c r="H541" s="37">
        <f>J541*K541*7.85*I541/G541/1000000</f>
        <v>0.24021</v>
      </c>
      <c r="I541" s="10">
        <v>3</v>
      </c>
      <c r="J541" s="8">
        <v>170</v>
      </c>
      <c r="K541" s="8">
        <v>1260</v>
      </c>
    </row>
    <row r="542" ht="21" customHeight="1" spans="1:16">
      <c r="A542" s="8">
        <v>8278</v>
      </c>
      <c r="B542" s="8" t="s">
        <v>886</v>
      </c>
      <c r="C542" s="8" t="s">
        <v>42</v>
      </c>
      <c r="D542" s="13" t="s">
        <v>884</v>
      </c>
      <c r="E542" s="13" t="s">
        <v>75</v>
      </c>
      <c r="F542" s="13" t="s">
        <v>238</v>
      </c>
      <c r="G542" s="8">
        <v>12</v>
      </c>
      <c r="H542" s="9">
        <f>J542*K542*7.85*I542/G542/1000000</f>
        <v>0.4401495</v>
      </c>
      <c r="I542" s="10">
        <v>3</v>
      </c>
      <c r="J542" s="8">
        <v>178</v>
      </c>
      <c r="K542" s="8">
        <v>1260</v>
      </c>
    </row>
    <row r="543" ht="21" customHeight="1" spans="1:16">
      <c r="A543" s="8">
        <v>8278</v>
      </c>
      <c r="B543" s="8" t="s">
        <v>887</v>
      </c>
      <c r="C543" s="8" t="s">
        <v>42</v>
      </c>
      <c r="D543" s="13" t="s">
        <v>884</v>
      </c>
      <c r="E543" s="13" t="s">
        <v>75</v>
      </c>
      <c r="H543" s="9"/>
    </row>
    <row r="544" ht="21" customHeight="1" spans="1:16">
      <c r="A544" s="8">
        <v>8279</v>
      </c>
      <c r="B544" s="8" t="s">
        <v>888</v>
      </c>
      <c r="C544" s="8" t="s">
        <v>42</v>
      </c>
      <c r="E544" s="13" t="s">
        <v>14</v>
      </c>
      <c r="G544" s="8">
        <v>2</v>
      </c>
      <c r="H544" s="9">
        <f t="shared" ref="H544:H589" si="22">J544*K544*7.85*I544/G544/1000000</f>
        <v>3.925</v>
      </c>
      <c r="I544" s="10">
        <v>4</v>
      </c>
      <c r="J544" s="8">
        <v>500</v>
      </c>
      <c r="K544" s="8">
        <v>500</v>
      </c>
    </row>
    <row r="545" ht="21" customHeight="1" spans="1:11">
      <c r="A545" s="8">
        <v>8279</v>
      </c>
      <c r="B545" s="8" t="s">
        <v>889</v>
      </c>
      <c r="C545" s="8" t="s">
        <v>42</v>
      </c>
      <c r="E545" s="13" t="s">
        <v>32</v>
      </c>
      <c r="G545" s="8">
        <v>8</v>
      </c>
      <c r="H545" s="9">
        <f t="shared" si="22"/>
        <v>1.027427625</v>
      </c>
      <c r="I545" s="10">
        <v>3</v>
      </c>
      <c r="J545" s="8">
        <v>277</v>
      </c>
      <c r="K545" s="8">
        <v>1260</v>
      </c>
    </row>
    <row r="546" ht="21" customHeight="1" spans="1:11">
      <c r="A546" s="8">
        <v>8280</v>
      </c>
      <c r="B546" s="8" t="s">
        <v>890</v>
      </c>
      <c r="C546" s="8" t="s">
        <v>42</v>
      </c>
      <c r="E546" s="13" t="s">
        <v>14</v>
      </c>
      <c r="F546" s="13" t="s">
        <v>801</v>
      </c>
      <c r="G546" s="8">
        <v>4</v>
      </c>
      <c r="H546" s="9">
        <f t="shared" si="22"/>
        <v>3.085992</v>
      </c>
      <c r="I546" s="10">
        <v>3</v>
      </c>
      <c r="J546" s="8">
        <v>416</v>
      </c>
      <c r="K546" s="8">
        <v>1260</v>
      </c>
    </row>
    <row r="547" ht="21" customHeight="1" spans="1:11">
      <c r="A547" s="8">
        <v>8280</v>
      </c>
      <c r="B547" s="8" t="s">
        <v>891</v>
      </c>
      <c r="C547" s="8" t="s">
        <v>42</v>
      </c>
      <c r="E547" s="13" t="s">
        <v>32</v>
      </c>
      <c r="F547" s="13" t="s">
        <v>801</v>
      </c>
      <c r="G547" s="8">
        <v>4</v>
      </c>
      <c r="H547" s="9">
        <f t="shared" si="22"/>
        <v>3.085992</v>
      </c>
      <c r="I547" s="10">
        <v>3</v>
      </c>
      <c r="J547" s="8">
        <v>416</v>
      </c>
      <c r="K547" s="8">
        <v>1260</v>
      </c>
    </row>
    <row r="548" ht="21" customHeight="1" spans="1:11">
      <c r="A548" s="8">
        <v>8286</v>
      </c>
      <c r="B548" s="8" t="s">
        <v>892</v>
      </c>
      <c r="C548" s="8" t="s">
        <v>42</v>
      </c>
      <c r="E548" s="13" t="s">
        <v>14</v>
      </c>
      <c r="F548" s="13" t="s">
        <v>275</v>
      </c>
      <c r="G548" s="8">
        <v>2</v>
      </c>
      <c r="H548" s="9">
        <f t="shared" si="22"/>
        <v>4.114656</v>
      </c>
      <c r="I548" s="10">
        <v>4</v>
      </c>
      <c r="J548" s="8">
        <v>416</v>
      </c>
      <c r="K548" s="8">
        <v>630</v>
      </c>
    </row>
    <row r="549" ht="21" customHeight="1" spans="1:11">
      <c r="A549" s="8">
        <v>8288</v>
      </c>
      <c r="B549" s="8" t="s">
        <v>893</v>
      </c>
      <c r="C549" s="8" t="s">
        <v>42</v>
      </c>
      <c r="E549" s="13" t="s">
        <v>14</v>
      </c>
      <c r="F549" s="13" t="s">
        <v>275</v>
      </c>
      <c r="G549" s="8">
        <v>2</v>
      </c>
      <c r="H549" s="9">
        <f t="shared" si="22"/>
        <v>4.114656</v>
      </c>
      <c r="I549" s="10">
        <v>4</v>
      </c>
      <c r="J549" s="8">
        <v>416</v>
      </c>
      <c r="K549" s="8">
        <v>630</v>
      </c>
    </row>
    <row r="550" ht="21" customHeight="1" spans="1:11">
      <c r="A550" s="8">
        <v>8288</v>
      </c>
      <c r="B550" s="8" t="s">
        <v>894</v>
      </c>
      <c r="C550" s="8" t="s">
        <v>42</v>
      </c>
      <c r="E550" s="13" t="s">
        <v>32</v>
      </c>
      <c r="F550" s="13" t="s">
        <v>667</v>
      </c>
      <c r="G550" s="8">
        <v>15</v>
      </c>
      <c r="H550" s="9">
        <f t="shared" si="22"/>
        <v>0.49455</v>
      </c>
      <c r="I550" s="10">
        <v>3</v>
      </c>
      <c r="J550" s="8">
        <v>250</v>
      </c>
      <c r="K550" s="8">
        <v>1260</v>
      </c>
    </row>
    <row r="551" ht="21" customHeight="1" spans="1:11">
      <c r="A551" s="8">
        <v>8291</v>
      </c>
      <c r="B551" s="8" t="s">
        <v>895</v>
      </c>
      <c r="C551" s="8" t="s">
        <v>42</v>
      </c>
      <c r="E551" s="13" t="s">
        <v>14</v>
      </c>
      <c r="F551" s="13" t="s">
        <v>33</v>
      </c>
      <c r="G551" s="8">
        <v>6</v>
      </c>
      <c r="H551" s="9">
        <f t="shared" si="22"/>
        <v>1.71444</v>
      </c>
      <c r="I551" s="10">
        <v>2.5</v>
      </c>
      <c r="J551" s="8">
        <v>416</v>
      </c>
      <c r="K551" s="8">
        <v>1260</v>
      </c>
    </row>
    <row r="552" ht="21" customHeight="1" spans="1:11">
      <c r="A552" s="8">
        <v>8291</v>
      </c>
      <c r="B552" s="8" t="s">
        <v>896</v>
      </c>
      <c r="C552" s="8" t="s">
        <v>42</v>
      </c>
      <c r="E552" s="13" t="s">
        <v>32</v>
      </c>
      <c r="F552" s="13" t="s">
        <v>33</v>
      </c>
      <c r="G552" s="8">
        <v>6</v>
      </c>
      <c r="H552" s="9">
        <f t="shared" si="22"/>
        <v>1.71444</v>
      </c>
      <c r="I552" s="10">
        <v>2.5</v>
      </c>
      <c r="J552" s="8">
        <v>416</v>
      </c>
      <c r="K552" s="8">
        <v>1260</v>
      </c>
    </row>
    <row r="553" ht="21" customHeight="1" spans="1:11">
      <c r="A553" s="8">
        <v>8296</v>
      </c>
      <c r="B553" s="8" t="s">
        <v>897</v>
      </c>
      <c r="C553" s="8" t="s">
        <v>42</v>
      </c>
      <c r="E553" s="13" t="s">
        <v>14</v>
      </c>
      <c r="F553" s="13" t="s">
        <v>83</v>
      </c>
      <c r="G553" s="8">
        <v>4</v>
      </c>
      <c r="H553" s="9">
        <f t="shared" si="22"/>
        <v>3.089701125</v>
      </c>
      <c r="I553" s="10">
        <v>3.5</v>
      </c>
      <c r="J553" s="8">
        <v>357</v>
      </c>
      <c r="K553" s="8">
        <v>1260</v>
      </c>
    </row>
    <row r="554" ht="21" customHeight="1" spans="1:11">
      <c r="A554" s="8">
        <v>8297</v>
      </c>
      <c r="B554" s="8" t="s">
        <v>898</v>
      </c>
      <c r="C554" s="8" t="s">
        <v>42</v>
      </c>
      <c r="E554" s="13" t="s">
        <v>14</v>
      </c>
      <c r="F554" s="13" t="s">
        <v>33</v>
      </c>
      <c r="G554" s="8">
        <v>4</v>
      </c>
      <c r="H554" s="9">
        <f t="shared" si="22"/>
        <v>2.57166</v>
      </c>
      <c r="I554" s="10">
        <v>2.5</v>
      </c>
      <c r="J554" s="8">
        <v>416</v>
      </c>
      <c r="K554" s="8">
        <v>1260</v>
      </c>
    </row>
    <row r="555" ht="21" customHeight="1" spans="1:11">
      <c r="A555" s="8">
        <v>8297</v>
      </c>
      <c r="B555" s="8" t="s">
        <v>899</v>
      </c>
      <c r="C555" s="8" t="s">
        <v>42</v>
      </c>
      <c r="E555" s="13" t="s">
        <v>32</v>
      </c>
      <c r="F555" s="13" t="s">
        <v>33</v>
      </c>
      <c r="G555" s="8">
        <v>4</v>
      </c>
      <c r="H555" s="9">
        <f t="shared" si="22"/>
        <v>2.57166</v>
      </c>
      <c r="I555" s="10">
        <v>2.5</v>
      </c>
      <c r="J555" s="8">
        <v>416</v>
      </c>
      <c r="K555" s="8">
        <v>1260</v>
      </c>
    </row>
    <row r="556" ht="21" customHeight="1" spans="1:11">
      <c r="A556" s="8">
        <v>8298</v>
      </c>
      <c r="B556" s="8" t="s">
        <v>900</v>
      </c>
      <c r="C556" s="8" t="s">
        <v>42</v>
      </c>
      <c r="E556" s="13" t="s">
        <v>14</v>
      </c>
      <c r="F556" s="13" t="s">
        <v>44</v>
      </c>
      <c r="G556" s="8">
        <v>4</v>
      </c>
      <c r="H556" s="9">
        <f t="shared" si="22"/>
        <v>4.3273125</v>
      </c>
      <c r="I556" s="10">
        <v>3.5</v>
      </c>
      <c r="J556" s="8">
        <v>500</v>
      </c>
      <c r="K556" s="8">
        <v>1260</v>
      </c>
    </row>
    <row r="557" ht="21" customHeight="1" spans="1:11">
      <c r="A557" s="8">
        <v>8298</v>
      </c>
      <c r="B557" s="8" t="s">
        <v>901</v>
      </c>
      <c r="C557" s="8" t="s">
        <v>42</v>
      </c>
      <c r="E557" s="13" t="s">
        <v>32</v>
      </c>
      <c r="F557" s="13" t="s">
        <v>220</v>
      </c>
      <c r="G557" s="8">
        <v>8</v>
      </c>
      <c r="H557" s="9">
        <f t="shared" si="22"/>
        <v>1.3501215</v>
      </c>
      <c r="I557" s="10">
        <v>3.5</v>
      </c>
      <c r="J557" s="8">
        <v>312</v>
      </c>
      <c r="K557" s="8">
        <v>1260</v>
      </c>
    </row>
    <row r="558" ht="21" customHeight="1" spans="1:11">
      <c r="A558" s="48" t="s">
        <v>902</v>
      </c>
      <c r="B558" s="8" t="s">
        <v>903</v>
      </c>
      <c r="C558" s="8" t="s">
        <v>42</v>
      </c>
      <c r="E558" s="13" t="s">
        <v>14</v>
      </c>
      <c r="F558" s="13" t="s">
        <v>567</v>
      </c>
      <c r="G558" s="8">
        <v>4</v>
      </c>
      <c r="H558" s="9">
        <f t="shared" si="22"/>
        <v>3.00027</v>
      </c>
      <c r="I558" s="10">
        <v>3.5</v>
      </c>
      <c r="J558" s="8">
        <v>312</v>
      </c>
      <c r="K558" s="8">
        <v>1400</v>
      </c>
    </row>
    <row r="559" ht="21" customHeight="1" spans="1:11">
      <c r="A559" s="48" t="s">
        <v>904</v>
      </c>
      <c r="B559" s="8" t="s">
        <v>903</v>
      </c>
      <c r="C559" s="8" t="s">
        <v>42</v>
      </c>
      <c r="E559" s="13" t="s">
        <v>14</v>
      </c>
      <c r="F559" s="13" t="s">
        <v>567</v>
      </c>
      <c r="G559" s="8">
        <v>4</v>
      </c>
      <c r="H559" s="9">
        <f t="shared" si="22"/>
        <v>3.00027</v>
      </c>
      <c r="I559" s="10">
        <v>3.5</v>
      </c>
      <c r="J559" s="8">
        <v>312</v>
      </c>
      <c r="K559" s="8">
        <v>1400</v>
      </c>
    </row>
    <row r="560" ht="21" customHeight="1" spans="1:11">
      <c r="A560" s="48" t="s">
        <v>904</v>
      </c>
      <c r="B560" s="8" t="s">
        <v>905</v>
      </c>
      <c r="C560" s="8" t="s">
        <v>42</v>
      </c>
      <c r="E560" s="13" t="s">
        <v>906</v>
      </c>
      <c r="F560" s="13" t="s">
        <v>907</v>
      </c>
      <c r="G560" s="8">
        <v>18</v>
      </c>
      <c r="H560" s="9">
        <f t="shared" si="22"/>
        <v>0.20194125</v>
      </c>
      <c r="I560" s="10">
        <v>2.5</v>
      </c>
      <c r="J560" s="8">
        <v>147</v>
      </c>
      <c r="K560" s="8">
        <v>1260</v>
      </c>
    </row>
    <row r="561" ht="21" customHeight="1" spans="1:11">
      <c r="A561" s="48" t="s">
        <v>904</v>
      </c>
      <c r="B561" s="8" t="s">
        <v>908</v>
      </c>
      <c r="C561" s="8" t="s">
        <v>42</v>
      </c>
      <c r="E561" s="13" t="s">
        <v>909</v>
      </c>
      <c r="F561" s="13" t="s">
        <v>910</v>
      </c>
      <c r="G561" s="8">
        <v>18</v>
      </c>
      <c r="H561" s="9">
        <f t="shared" si="22"/>
        <v>0.26376</v>
      </c>
      <c r="I561" s="10">
        <v>2.5</v>
      </c>
      <c r="J561" s="8">
        <v>192</v>
      </c>
      <c r="K561" s="8">
        <v>1260</v>
      </c>
    </row>
    <row r="562" ht="21" customHeight="1" spans="1:11">
      <c r="A562" s="8">
        <v>8300</v>
      </c>
      <c r="B562" s="8" t="s">
        <v>911</v>
      </c>
      <c r="C562" s="8" t="s">
        <v>42</v>
      </c>
      <c r="E562" s="13" t="s">
        <v>14</v>
      </c>
      <c r="F562" s="13" t="s">
        <v>30</v>
      </c>
      <c r="G562" s="8">
        <v>4</v>
      </c>
      <c r="H562" s="9">
        <f t="shared" si="22"/>
        <v>3.600324</v>
      </c>
      <c r="I562" s="10">
        <v>3.5</v>
      </c>
      <c r="J562" s="8">
        <v>416</v>
      </c>
      <c r="K562" s="8">
        <v>1260</v>
      </c>
    </row>
    <row r="563" ht="21" customHeight="1" spans="1:11">
      <c r="A563" s="8">
        <v>8300</v>
      </c>
      <c r="B563" s="8" t="s">
        <v>912</v>
      </c>
      <c r="C563" s="8" t="s">
        <v>42</v>
      </c>
      <c r="E563" s="13" t="s">
        <v>32</v>
      </c>
      <c r="F563" s="13" t="s">
        <v>251</v>
      </c>
      <c r="G563" s="8">
        <v>4</v>
      </c>
      <c r="H563" s="9">
        <f t="shared" si="22"/>
        <v>2.05485525</v>
      </c>
      <c r="I563" s="10">
        <v>3</v>
      </c>
      <c r="J563" s="8">
        <v>277</v>
      </c>
      <c r="K563" s="8">
        <v>1260</v>
      </c>
    </row>
    <row r="564" ht="21" customHeight="1" spans="1:11">
      <c r="A564" s="8">
        <v>8301</v>
      </c>
      <c r="B564" s="8" t="s">
        <v>913</v>
      </c>
      <c r="C564" s="8" t="s">
        <v>102</v>
      </c>
      <c r="D564" s="13" t="s">
        <v>914</v>
      </c>
      <c r="E564" s="13" t="s">
        <v>14</v>
      </c>
      <c r="F564" s="13" t="s">
        <v>251</v>
      </c>
      <c r="G564" s="8">
        <v>4</v>
      </c>
      <c r="H564" s="9">
        <f t="shared" si="22"/>
        <v>2.05485525</v>
      </c>
      <c r="I564" s="10">
        <v>3</v>
      </c>
      <c r="J564" s="8">
        <v>277</v>
      </c>
      <c r="K564" s="8">
        <v>1260</v>
      </c>
    </row>
    <row r="565" ht="21" customHeight="1" spans="1:11">
      <c r="A565" s="8">
        <v>8303</v>
      </c>
      <c r="B565" s="8" t="s">
        <v>915</v>
      </c>
      <c r="C565" s="8" t="s">
        <v>42</v>
      </c>
      <c r="E565" s="13" t="s">
        <v>14</v>
      </c>
      <c r="F565" s="13" t="s">
        <v>65</v>
      </c>
      <c r="G565" s="8">
        <v>4</v>
      </c>
      <c r="H565" s="9">
        <f t="shared" si="22"/>
        <v>2.64831525</v>
      </c>
      <c r="I565" s="10">
        <v>3</v>
      </c>
      <c r="J565" s="8">
        <v>357</v>
      </c>
      <c r="K565" s="8">
        <v>1260</v>
      </c>
    </row>
    <row r="566" ht="21" customHeight="1" spans="1:11">
      <c r="A566" s="8">
        <v>8303</v>
      </c>
      <c r="B566" s="8" t="s">
        <v>916</v>
      </c>
      <c r="C566" s="8" t="s">
        <v>42</v>
      </c>
      <c r="E566" s="13" t="s">
        <v>917</v>
      </c>
      <c r="F566" s="13" t="s">
        <v>307</v>
      </c>
      <c r="G566" s="8">
        <v>4</v>
      </c>
      <c r="H566" s="9">
        <f t="shared" si="22"/>
        <v>2.314494</v>
      </c>
      <c r="I566" s="10">
        <v>3</v>
      </c>
      <c r="J566" s="8">
        <v>312</v>
      </c>
      <c r="K566" s="8">
        <v>1260</v>
      </c>
    </row>
    <row r="567" ht="21" customHeight="1" spans="1:11">
      <c r="A567" s="8">
        <v>8304</v>
      </c>
      <c r="B567" s="8" t="s">
        <v>918</v>
      </c>
      <c r="C567" s="8" t="s">
        <v>42</v>
      </c>
      <c r="E567" s="13" t="s">
        <v>14</v>
      </c>
      <c r="F567" s="13" t="s">
        <v>65</v>
      </c>
      <c r="G567" s="8">
        <v>4</v>
      </c>
      <c r="H567" s="9">
        <f t="shared" si="22"/>
        <v>2.64831525</v>
      </c>
      <c r="I567" s="10">
        <v>3</v>
      </c>
      <c r="J567" s="8">
        <v>357</v>
      </c>
      <c r="K567" s="8">
        <v>1260</v>
      </c>
    </row>
    <row r="568" ht="21" customHeight="1" spans="1:11">
      <c r="A568" s="8">
        <v>8304</v>
      </c>
      <c r="B568" s="8" t="s">
        <v>919</v>
      </c>
      <c r="C568" s="8" t="s">
        <v>42</v>
      </c>
      <c r="E568" s="13" t="s">
        <v>32</v>
      </c>
      <c r="F568" s="13" t="s">
        <v>65</v>
      </c>
      <c r="G568" s="8">
        <v>4</v>
      </c>
      <c r="H568" s="9">
        <f t="shared" si="22"/>
        <v>2.206929375</v>
      </c>
      <c r="I568" s="10">
        <v>2.5</v>
      </c>
      <c r="J568" s="8">
        <v>357</v>
      </c>
      <c r="K568" s="8">
        <v>1260</v>
      </c>
    </row>
    <row r="569" ht="21" customHeight="1" spans="1:11">
      <c r="A569" s="8">
        <v>8304</v>
      </c>
      <c r="B569" s="8" t="s">
        <v>920</v>
      </c>
      <c r="C569" s="8" t="s">
        <v>42</v>
      </c>
      <c r="E569" s="13" t="s">
        <v>921</v>
      </c>
      <c r="F569" s="13" t="s">
        <v>76</v>
      </c>
      <c r="G569" s="8">
        <v>20</v>
      </c>
      <c r="H569" s="9">
        <f t="shared" si="22"/>
        <v>0.181747125</v>
      </c>
      <c r="I569" s="10">
        <v>2.5</v>
      </c>
      <c r="J569" s="8">
        <v>147</v>
      </c>
      <c r="K569" s="8">
        <v>1260</v>
      </c>
    </row>
    <row r="570" ht="21" customHeight="1" spans="1:11">
      <c r="A570" s="8">
        <v>8310</v>
      </c>
      <c r="B570" s="8" t="s">
        <v>922</v>
      </c>
      <c r="C570" s="8" t="s">
        <v>42</v>
      </c>
      <c r="E570" s="13" t="s">
        <v>14</v>
      </c>
      <c r="F570" s="13" t="s">
        <v>439</v>
      </c>
      <c r="G570" s="8">
        <v>6</v>
      </c>
      <c r="H570" s="9">
        <f t="shared" si="22"/>
        <v>2.28592</v>
      </c>
      <c r="I570" s="10">
        <v>3</v>
      </c>
      <c r="J570" s="8">
        <v>416</v>
      </c>
      <c r="K570" s="8">
        <v>1400</v>
      </c>
    </row>
    <row r="571" ht="21" customHeight="1" spans="1:11">
      <c r="A571" s="8">
        <v>8311</v>
      </c>
      <c r="B571" s="8" t="s">
        <v>923</v>
      </c>
      <c r="C571" s="8" t="s">
        <v>42</v>
      </c>
      <c r="E571" s="13" t="s">
        <v>14</v>
      </c>
      <c r="F571" s="13" t="s">
        <v>801</v>
      </c>
      <c r="G571" s="8">
        <v>4</v>
      </c>
      <c r="H571" s="9">
        <f t="shared" si="22"/>
        <v>3.085992</v>
      </c>
      <c r="I571" s="10">
        <v>3</v>
      </c>
      <c r="J571" s="8">
        <v>416</v>
      </c>
      <c r="K571" s="8">
        <v>1260</v>
      </c>
    </row>
    <row r="572" ht="21" customHeight="1" spans="1:11">
      <c r="A572" s="8">
        <v>8314</v>
      </c>
      <c r="B572" s="8" t="s">
        <v>924</v>
      </c>
      <c r="C572" s="8" t="s">
        <v>42</v>
      </c>
      <c r="E572" s="13" t="s">
        <v>14</v>
      </c>
      <c r="G572" s="8">
        <v>5</v>
      </c>
      <c r="H572" s="9">
        <f t="shared" si="22"/>
        <v>4.15422</v>
      </c>
      <c r="I572" s="10">
        <v>3.5</v>
      </c>
      <c r="J572" s="8">
        <v>600</v>
      </c>
      <c r="K572" s="8">
        <v>1260</v>
      </c>
    </row>
    <row r="573" ht="21" customHeight="1" spans="1:11">
      <c r="A573" s="8">
        <v>8314</v>
      </c>
      <c r="B573" s="8" t="s">
        <v>925</v>
      </c>
      <c r="C573" s="8" t="s">
        <v>42</v>
      </c>
      <c r="E573" s="13" t="s">
        <v>32</v>
      </c>
      <c r="G573" s="8">
        <v>10</v>
      </c>
      <c r="H573" s="9">
        <f t="shared" si="22"/>
        <v>1.57514175</v>
      </c>
      <c r="I573" s="10">
        <v>3.5</v>
      </c>
      <c r="J573" s="8">
        <v>455</v>
      </c>
      <c r="K573" s="8">
        <v>1260</v>
      </c>
    </row>
    <row r="574" ht="21" customHeight="1" spans="1:11">
      <c r="A574" s="8">
        <v>8314</v>
      </c>
      <c r="B574" s="8" t="s">
        <v>926</v>
      </c>
      <c r="C574" s="8" t="s">
        <v>42</v>
      </c>
      <c r="E574" s="13" t="s">
        <v>601</v>
      </c>
      <c r="G574" s="8">
        <v>16</v>
      </c>
      <c r="H574" s="9">
        <f t="shared" si="22"/>
        <v>0.17154703125</v>
      </c>
      <c r="I574" s="10">
        <v>3</v>
      </c>
      <c r="J574" s="8">
        <v>92.5</v>
      </c>
      <c r="K574" s="8">
        <v>1260</v>
      </c>
    </row>
    <row r="575" ht="21" customHeight="1" spans="1:11">
      <c r="A575" s="8">
        <v>8314</v>
      </c>
      <c r="B575" s="8" t="s">
        <v>927</v>
      </c>
      <c r="C575" s="8" t="s">
        <v>42</v>
      </c>
      <c r="E575" s="13" t="s">
        <v>604</v>
      </c>
      <c r="G575" s="8">
        <v>14</v>
      </c>
      <c r="H575" s="9">
        <f t="shared" si="22"/>
        <v>0.377271</v>
      </c>
      <c r="I575" s="10">
        <v>3</v>
      </c>
      <c r="J575" s="8">
        <v>178</v>
      </c>
      <c r="K575" s="8">
        <v>1260</v>
      </c>
    </row>
    <row r="576" ht="21" customHeight="1" spans="1:11">
      <c r="A576" s="8">
        <v>8315</v>
      </c>
      <c r="B576" s="8" t="s">
        <v>928</v>
      </c>
      <c r="C576" s="8" t="s">
        <v>42</v>
      </c>
      <c r="E576" s="13" t="s">
        <v>14</v>
      </c>
      <c r="F576" s="13" t="s">
        <v>929</v>
      </c>
      <c r="G576" s="8">
        <v>4</v>
      </c>
      <c r="H576" s="9">
        <f t="shared" si="22"/>
        <v>2.1216195</v>
      </c>
      <c r="I576" s="10">
        <v>2.75</v>
      </c>
      <c r="J576" s="8">
        <v>312</v>
      </c>
      <c r="K576" s="8">
        <v>1260</v>
      </c>
    </row>
    <row r="577" ht="21" customHeight="1" spans="1:11">
      <c r="A577" s="8">
        <v>8315</v>
      </c>
      <c r="B577" s="8" t="s">
        <v>930</v>
      </c>
      <c r="C577" s="8" t="s">
        <v>42</v>
      </c>
      <c r="E577" s="13" t="s">
        <v>32</v>
      </c>
      <c r="F577" s="13" t="s">
        <v>929</v>
      </c>
      <c r="G577" s="8">
        <v>4</v>
      </c>
      <c r="H577" s="9">
        <f t="shared" si="22"/>
        <v>2.1216195</v>
      </c>
      <c r="I577" s="10">
        <v>2.75</v>
      </c>
      <c r="J577" s="8">
        <v>312</v>
      </c>
      <c r="K577" s="8">
        <v>1260</v>
      </c>
    </row>
    <row r="578" ht="21" customHeight="1" spans="1:11">
      <c r="A578" s="8">
        <v>8315</v>
      </c>
      <c r="B578" s="8" t="s">
        <v>931</v>
      </c>
      <c r="C578" s="8" t="s">
        <v>42</v>
      </c>
      <c r="E578" s="13" t="s">
        <v>430</v>
      </c>
      <c r="F578" s="13" t="s">
        <v>932</v>
      </c>
      <c r="G578" s="8">
        <v>22</v>
      </c>
      <c r="H578" s="9">
        <f t="shared" si="22"/>
        <v>0.306171409090909</v>
      </c>
      <c r="I578" s="10">
        <v>3</v>
      </c>
      <c r="J578" s="8">
        <v>227</v>
      </c>
      <c r="K578" s="8">
        <v>1260</v>
      </c>
    </row>
    <row r="579" ht="21" customHeight="1" spans="1:11">
      <c r="A579" s="8">
        <v>8316</v>
      </c>
      <c r="B579" s="8" t="s">
        <v>933</v>
      </c>
      <c r="C579" s="8" t="s">
        <v>42</v>
      </c>
      <c r="D579" s="13" t="s">
        <v>934</v>
      </c>
      <c r="E579" s="13" t="s">
        <v>14</v>
      </c>
      <c r="F579" s="13" t="s">
        <v>83</v>
      </c>
      <c r="G579" s="8">
        <v>4</v>
      </c>
      <c r="H579" s="9">
        <f t="shared" si="22"/>
        <v>3.089701125</v>
      </c>
      <c r="I579" s="10">
        <v>3.5</v>
      </c>
      <c r="J579" s="8">
        <v>357</v>
      </c>
      <c r="K579" s="8">
        <v>1260</v>
      </c>
    </row>
    <row r="580" ht="21" customHeight="1" spans="1:11">
      <c r="A580" s="8">
        <v>8317</v>
      </c>
      <c r="B580" s="8" t="s">
        <v>935</v>
      </c>
      <c r="C580" s="8" t="s">
        <v>42</v>
      </c>
      <c r="D580" s="13" t="s">
        <v>936</v>
      </c>
      <c r="E580" s="13" t="s">
        <v>14</v>
      </c>
      <c r="F580" s="13" t="s">
        <v>436</v>
      </c>
      <c r="G580" s="8">
        <v>4</v>
      </c>
      <c r="H580" s="9">
        <f t="shared" si="22"/>
        <v>3.531087</v>
      </c>
      <c r="I580" s="10">
        <v>4</v>
      </c>
      <c r="J580" s="8">
        <v>357</v>
      </c>
      <c r="K580" s="8">
        <v>1260</v>
      </c>
    </row>
    <row r="581" ht="21" customHeight="1" spans="1:11">
      <c r="A581" s="8">
        <v>8319</v>
      </c>
      <c r="B581" s="8" t="s">
        <v>937</v>
      </c>
      <c r="C581" s="8" t="s">
        <v>42</v>
      </c>
      <c r="D581" s="13" t="s">
        <v>938</v>
      </c>
      <c r="E581" s="13" t="s">
        <v>14</v>
      </c>
      <c r="F581" s="13" t="s">
        <v>65</v>
      </c>
      <c r="G581" s="8">
        <v>4</v>
      </c>
      <c r="H581" s="9">
        <f t="shared" si="22"/>
        <v>2.64831525</v>
      </c>
      <c r="I581" s="10">
        <v>3</v>
      </c>
      <c r="J581" s="8">
        <v>357</v>
      </c>
      <c r="K581" s="8">
        <v>1260</v>
      </c>
    </row>
    <row r="582" ht="21" customHeight="1" spans="1:11">
      <c r="A582" s="8">
        <v>8319</v>
      </c>
      <c r="B582" s="8" t="s">
        <v>939</v>
      </c>
      <c r="C582" s="8" t="s">
        <v>42</v>
      </c>
      <c r="D582" s="13" t="s">
        <v>938</v>
      </c>
      <c r="E582" s="13" t="s">
        <v>32</v>
      </c>
      <c r="F582" s="13" t="s">
        <v>85</v>
      </c>
      <c r="G582" s="8">
        <v>4</v>
      </c>
      <c r="H582" s="9">
        <f t="shared" si="22"/>
        <v>1.7655435</v>
      </c>
      <c r="I582" s="10">
        <v>2</v>
      </c>
      <c r="J582" s="8">
        <v>357</v>
      </c>
      <c r="K582" s="8">
        <v>1260</v>
      </c>
    </row>
    <row r="583" ht="21" customHeight="1" spans="1:11">
      <c r="A583" s="8">
        <v>8321</v>
      </c>
      <c r="B583" s="8" t="s">
        <v>940</v>
      </c>
      <c r="C583" s="8" t="s">
        <v>42</v>
      </c>
      <c r="D583" s="13" t="s">
        <v>941</v>
      </c>
      <c r="E583" s="13" t="s">
        <v>14</v>
      </c>
      <c r="F583" s="13" t="s">
        <v>30</v>
      </c>
      <c r="G583" s="8">
        <v>4</v>
      </c>
      <c r="H583" s="9">
        <f t="shared" si="22"/>
        <v>3.600324</v>
      </c>
      <c r="I583" s="10">
        <v>3.5</v>
      </c>
      <c r="J583" s="8">
        <v>416</v>
      </c>
      <c r="K583" s="8">
        <v>1260</v>
      </c>
    </row>
    <row r="584" ht="21" customHeight="1" spans="1:11">
      <c r="A584" s="8">
        <v>8322</v>
      </c>
      <c r="B584" s="8" t="s">
        <v>942</v>
      </c>
      <c r="C584" s="8" t="s">
        <v>42</v>
      </c>
      <c r="D584" s="13" t="s">
        <v>943</v>
      </c>
      <c r="E584" s="13" t="s">
        <v>14</v>
      </c>
      <c r="F584" s="13" t="s">
        <v>33</v>
      </c>
      <c r="G584" s="8">
        <v>6</v>
      </c>
      <c r="H584" s="9">
        <f t="shared" si="22"/>
        <v>1.71444</v>
      </c>
      <c r="I584" s="10">
        <v>2.5</v>
      </c>
      <c r="J584" s="8">
        <v>416</v>
      </c>
      <c r="K584" s="8">
        <v>1260</v>
      </c>
    </row>
    <row r="585" ht="21" customHeight="1" spans="1:11">
      <c r="A585" s="8">
        <v>8322</v>
      </c>
      <c r="B585" s="8" t="s">
        <v>944</v>
      </c>
      <c r="C585" s="8" t="s">
        <v>42</v>
      </c>
      <c r="D585" s="13" t="s">
        <v>943</v>
      </c>
      <c r="E585" s="13" t="s">
        <v>32</v>
      </c>
      <c r="F585" s="13" t="s">
        <v>33</v>
      </c>
      <c r="G585" s="8">
        <v>6</v>
      </c>
      <c r="H585" s="9">
        <f t="shared" si="22"/>
        <v>1.71444</v>
      </c>
      <c r="I585" s="10">
        <v>2.5</v>
      </c>
      <c r="J585" s="8">
        <v>416</v>
      </c>
      <c r="K585" s="8">
        <v>1260</v>
      </c>
    </row>
    <row r="586" ht="21" customHeight="1" spans="1:11">
      <c r="A586" s="8">
        <v>8326</v>
      </c>
      <c r="B586" s="8" t="s">
        <v>945</v>
      </c>
      <c r="C586" s="8" t="s">
        <v>42</v>
      </c>
      <c r="E586" s="13" t="s">
        <v>14</v>
      </c>
      <c r="F586" s="13" t="s">
        <v>415</v>
      </c>
      <c r="G586" s="8">
        <v>4</v>
      </c>
      <c r="H586" s="9">
        <f t="shared" si="22"/>
        <v>4.114656</v>
      </c>
      <c r="I586" s="10">
        <v>4</v>
      </c>
      <c r="J586" s="8">
        <v>416</v>
      </c>
      <c r="K586" s="8">
        <v>1260</v>
      </c>
    </row>
    <row r="587" ht="21" customHeight="1" spans="1:11">
      <c r="A587" s="8">
        <v>8328</v>
      </c>
      <c r="B587" s="8" t="s">
        <v>946</v>
      </c>
      <c r="C587" s="8" t="s">
        <v>42</v>
      </c>
      <c r="E587" s="13" t="s">
        <v>14</v>
      </c>
      <c r="F587" s="13" t="s">
        <v>275</v>
      </c>
      <c r="G587" s="8">
        <v>2</v>
      </c>
      <c r="H587" s="9">
        <f t="shared" si="22"/>
        <v>4.114656</v>
      </c>
      <c r="I587" s="10">
        <v>4</v>
      </c>
      <c r="J587" s="8">
        <v>416</v>
      </c>
      <c r="K587" s="8">
        <v>630</v>
      </c>
    </row>
    <row r="588" ht="21" customHeight="1" spans="1:11">
      <c r="A588" s="8">
        <v>8330</v>
      </c>
      <c r="B588" s="8" t="s">
        <v>947</v>
      </c>
      <c r="C588" s="8" t="s">
        <v>42</v>
      </c>
      <c r="E588" s="13" t="s">
        <v>14</v>
      </c>
      <c r="G588" s="8">
        <v>30</v>
      </c>
      <c r="H588" s="9">
        <f t="shared" si="22"/>
        <v>4.08854166666667</v>
      </c>
      <c r="I588" s="10">
        <v>5</v>
      </c>
      <c r="J588" s="8">
        <v>1250</v>
      </c>
      <c r="K588" s="8">
        <v>2500</v>
      </c>
    </row>
    <row r="589" ht="21" customHeight="1" spans="1:11">
      <c r="A589" s="8">
        <v>8330</v>
      </c>
      <c r="B589" s="8" t="s">
        <v>948</v>
      </c>
      <c r="C589" s="8" t="s">
        <v>42</v>
      </c>
      <c r="E589" s="13" t="s">
        <v>601</v>
      </c>
      <c r="G589" s="8">
        <v>156</v>
      </c>
      <c r="H589" s="9">
        <f t="shared" si="22"/>
        <v>0.62900641025641</v>
      </c>
      <c r="I589" s="10">
        <v>4</v>
      </c>
      <c r="J589" s="8">
        <v>1250</v>
      </c>
      <c r="K589" s="8">
        <v>2500</v>
      </c>
    </row>
    <row r="590" ht="21" customHeight="1" spans="1:11">
      <c r="A590" s="8">
        <v>8330</v>
      </c>
      <c r="B590" s="8" t="s">
        <v>947</v>
      </c>
      <c r="C590" s="8" t="s">
        <v>42</v>
      </c>
      <c r="H590" s="9"/>
    </row>
    <row r="591" ht="21" customHeight="1" spans="1:11">
      <c r="A591" s="8">
        <v>8330</v>
      </c>
      <c r="B591" s="8" t="s">
        <v>948</v>
      </c>
      <c r="C591" s="8" t="s">
        <v>42</v>
      </c>
      <c r="H591" s="9"/>
    </row>
    <row r="592" ht="21" customHeight="1" spans="1:11">
      <c r="A592" s="8">
        <v>8347</v>
      </c>
      <c r="B592" s="8" t="s">
        <v>949</v>
      </c>
      <c r="C592" s="8" t="s">
        <v>42</v>
      </c>
      <c r="E592" s="13" t="s">
        <v>14</v>
      </c>
      <c r="F592" s="13" t="s">
        <v>950</v>
      </c>
      <c r="G592" s="8">
        <v>6</v>
      </c>
      <c r="H592" s="9">
        <f t="shared" ref="H592:H603" si="23">J592*K592*7.85*I592/G592/1000000</f>
        <v>1.6485</v>
      </c>
      <c r="I592" s="10">
        <v>4</v>
      </c>
      <c r="J592" s="8">
        <v>250</v>
      </c>
      <c r="K592" s="8">
        <v>1260</v>
      </c>
    </row>
    <row r="593" ht="21" customHeight="1" spans="1:11">
      <c r="A593" s="8">
        <v>8324</v>
      </c>
      <c r="B593" s="8" t="s">
        <v>951</v>
      </c>
      <c r="C593" s="8" t="s">
        <v>42</v>
      </c>
      <c r="D593" s="13" t="s">
        <v>952</v>
      </c>
      <c r="E593" s="13" t="s">
        <v>14</v>
      </c>
      <c r="F593" s="20" t="s">
        <v>334</v>
      </c>
      <c r="G593" s="8">
        <v>2</v>
      </c>
      <c r="H593" s="9">
        <f t="shared" si="23"/>
        <v>4.3273125</v>
      </c>
      <c r="I593" s="10">
        <v>3.5</v>
      </c>
      <c r="J593" s="8">
        <v>500</v>
      </c>
      <c r="K593" s="8">
        <v>630</v>
      </c>
    </row>
    <row r="594" ht="21" customHeight="1" spans="1:11">
      <c r="A594" s="8">
        <v>8325</v>
      </c>
      <c r="B594" s="8" t="s">
        <v>953</v>
      </c>
      <c r="C594" s="8" t="s">
        <v>42</v>
      </c>
      <c r="D594" s="13" t="s">
        <v>954</v>
      </c>
      <c r="E594" s="13" t="s">
        <v>14</v>
      </c>
      <c r="F594" s="13" t="s">
        <v>199</v>
      </c>
      <c r="G594" s="8">
        <v>2</v>
      </c>
      <c r="H594" s="9">
        <f t="shared" si="23"/>
        <v>4.9455</v>
      </c>
      <c r="I594" s="10">
        <v>4</v>
      </c>
      <c r="J594" s="8">
        <v>500</v>
      </c>
      <c r="K594" s="8">
        <v>630</v>
      </c>
    </row>
    <row r="595" ht="21" customHeight="1" spans="1:11">
      <c r="A595" s="8">
        <v>8344</v>
      </c>
      <c r="B595" s="8" t="s">
        <v>955</v>
      </c>
      <c r="C595" s="8" t="s">
        <v>42</v>
      </c>
      <c r="E595" s="13" t="s">
        <v>14</v>
      </c>
      <c r="F595" s="13" t="s">
        <v>122</v>
      </c>
      <c r="G595" s="8">
        <v>4</v>
      </c>
      <c r="H595" s="9">
        <f t="shared" si="23"/>
        <v>2.206929375</v>
      </c>
      <c r="I595" s="10">
        <v>2.5</v>
      </c>
      <c r="J595" s="8">
        <v>357</v>
      </c>
      <c r="K595" s="8">
        <v>1260</v>
      </c>
    </row>
    <row r="596" ht="21" customHeight="1" spans="1:11">
      <c r="A596" s="8">
        <v>8344</v>
      </c>
      <c r="B596" s="8" t="s">
        <v>956</v>
      </c>
      <c r="C596" s="8" t="s">
        <v>42</v>
      </c>
      <c r="E596" s="13" t="s">
        <v>32</v>
      </c>
      <c r="F596" s="13" t="s">
        <v>85</v>
      </c>
      <c r="G596" s="8">
        <v>4</v>
      </c>
      <c r="H596" s="9">
        <f t="shared" si="23"/>
        <v>1.7655435</v>
      </c>
      <c r="I596" s="10">
        <v>2</v>
      </c>
      <c r="J596" s="8">
        <v>357</v>
      </c>
      <c r="K596" s="8">
        <v>1260</v>
      </c>
    </row>
    <row r="597" ht="21" customHeight="1" spans="1:11">
      <c r="A597" s="8">
        <v>8345</v>
      </c>
      <c r="B597" s="8" t="s">
        <v>957</v>
      </c>
      <c r="C597" s="8" t="s">
        <v>42</v>
      </c>
      <c r="E597" s="13" t="s">
        <v>14</v>
      </c>
      <c r="F597" s="13" t="s">
        <v>958</v>
      </c>
      <c r="G597" s="8">
        <v>8</v>
      </c>
      <c r="H597" s="9">
        <f t="shared" si="23"/>
        <v>2.132746875</v>
      </c>
      <c r="I597" s="10">
        <v>3</v>
      </c>
      <c r="J597" s="8">
        <v>575</v>
      </c>
      <c r="K597" s="8">
        <v>1260</v>
      </c>
    </row>
    <row r="598" ht="21" customHeight="1" spans="1:11">
      <c r="A598" s="8">
        <v>8345</v>
      </c>
      <c r="B598" s="8" t="s">
        <v>959</v>
      </c>
      <c r="C598" s="8" t="s">
        <v>42</v>
      </c>
      <c r="E598" s="13" t="s">
        <v>32</v>
      </c>
      <c r="F598" s="13" t="s">
        <v>960</v>
      </c>
      <c r="G598" s="8">
        <v>9</v>
      </c>
      <c r="H598" s="9">
        <f t="shared" si="23"/>
        <v>1.78038</v>
      </c>
      <c r="I598" s="10">
        <v>3</v>
      </c>
      <c r="J598" s="8">
        <v>540</v>
      </c>
      <c r="K598" s="8">
        <v>1260</v>
      </c>
    </row>
    <row r="599" ht="21" customHeight="1" spans="1:11">
      <c r="A599" s="8">
        <v>8345</v>
      </c>
      <c r="B599" s="8" t="s">
        <v>961</v>
      </c>
      <c r="C599" s="8" t="s">
        <v>42</v>
      </c>
      <c r="E599" s="13" t="s">
        <v>808</v>
      </c>
      <c r="F599" s="13" t="s">
        <v>962</v>
      </c>
      <c r="G599" s="8">
        <v>18</v>
      </c>
      <c r="H599" s="9">
        <f t="shared" si="23"/>
        <v>0.400036</v>
      </c>
      <c r="I599" s="10">
        <v>3.5</v>
      </c>
      <c r="J599" s="8">
        <v>208</v>
      </c>
      <c r="K599" s="8">
        <v>1260</v>
      </c>
    </row>
    <row r="600" ht="21" customHeight="1" spans="1:11">
      <c r="A600" s="8">
        <v>8345</v>
      </c>
      <c r="B600" s="8" t="s">
        <v>963</v>
      </c>
      <c r="C600" s="8" t="s">
        <v>42</v>
      </c>
      <c r="E600" s="13" t="s">
        <v>808</v>
      </c>
      <c r="F600" s="13" t="s">
        <v>964</v>
      </c>
      <c r="G600" s="8">
        <v>19</v>
      </c>
      <c r="H600" s="9">
        <f t="shared" si="23"/>
        <v>0.504701289473684</v>
      </c>
      <c r="I600" s="10">
        <v>3.5</v>
      </c>
      <c r="J600" s="8">
        <v>277</v>
      </c>
      <c r="K600" s="8">
        <v>1260</v>
      </c>
    </row>
    <row r="601" ht="21" customHeight="1" spans="1:11">
      <c r="A601" s="8">
        <v>8345</v>
      </c>
      <c r="B601" s="8" t="s">
        <v>965</v>
      </c>
      <c r="C601" s="8" t="s">
        <v>42</v>
      </c>
      <c r="E601" s="13" t="s">
        <v>808</v>
      </c>
      <c r="F601" s="13" t="s">
        <v>966</v>
      </c>
      <c r="G601" s="8">
        <v>30</v>
      </c>
      <c r="H601" s="9">
        <f t="shared" si="23"/>
        <v>0.13039635</v>
      </c>
      <c r="I601" s="10">
        <v>3.5</v>
      </c>
      <c r="J601" s="8">
        <v>113</v>
      </c>
      <c r="K601" s="8">
        <v>1260</v>
      </c>
    </row>
    <row r="602" ht="13.5" customHeight="1" spans="1:11">
      <c r="A602" s="8">
        <v>8350</v>
      </c>
      <c r="B602" s="8" t="s">
        <v>967</v>
      </c>
      <c r="C602" s="8" t="s">
        <v>42</v>
      </c>
      <c r="D602" s="13" t="s">
        <v>968</v>
      </c>
      <c r="E602" s="13" t="s">
        <v>14</v>
      </c>
      <c r="F602" s="13" t="s">
        <v>33</v>
      </c>
      <c r="G602" s="8">
        <v>6</v>
      </c>
      <c r="H602" s="9">
        <f t="shared" si="23"/>
        <v>1.71444</v>
      </c>
      <c r="I602" s="10">
        <v>2.5</v>
      </c>
      <c r="J602" s="8">
        <v>416</v>
      </c>
      <c r="K602" s="8">
        <v>1260</v>
      </c>
    </row>
    <row r="603" ht="13.5" customHeight="1" spans="1:11">
      <c r="A603" s="8">
        <v>8350</v>
      </c>
      <c r="B603" s="8" t="s">
        <v>969</v>
      </c>
      <c r="C603" s="8" t="s">
        <v>42</v>
      </c>
      <c r="D603" s="13" t="s">
        <v>968</v>
      </c>
      <c r="E603" s="13" t="s">
        <v>32</v>
      </c>
      <c r="F603" s="13" t="s">
        <v>33</v>
      </c>
      <c r="G603" s="8">
        <v>6</v>
      </c>
      <c r="H603" s="9">
        <f t="shared" si="23"/>
        <v>1.71444</v>
      </c>
      <c r="I603" s="10">
        <v>2.5</v>
      </c>
      <c r="J603" s="8">
        <v>416</v>
      </c>
      <c r="K603" s="8">
        <v>1260</v>
      </c>
    </row>
    <row r="604" ht="21" customHeight="1" spans="1:11">
      <c r="A604" s="8">
        <v>8354</v>
      </c>
      <c r="B604" s="8" t="s">
        <v>970</v>
      </c>
      <c r="C604" s="8" t="s">
        <v>42</v>
      </c>
      <c r="E604" s="13" t="s">
        <v>14</v>
      </c>
      <c r="F604" s="13" t="s">
        <v>958</v>
      </c>
      <c r="G604" s="8">
        <v>8</v>
      </c>
      <c r="H604" s="9">
        <f t="shared" ref="H604:H612" si="24">J604*K604*7.85*I604/G604/1000000</f>
        <v>2.132746875</v>
      </c>
      <c r="I604" s="10">
        <v>3</v>
      </c>
      <c r="J604" s="8">
        <v>575</v>
      </c>
      <c r="K604" s="8">
        <v>1260</v>
      </c>
    </row>
    <row r="605" ht="21" customHeight="1" spans="1:11">
      <c r="A605" s="8">
        <v>8354</v>
      </c>
      <c r="B605" s="8" t="s">
        <v>971</v>
      </c>
      <c r="C605" s="8" t="s">
        <v>42</v>
      </c>
      <c r="E605" s="13" t="s">
        <v>32</v>
      </c>
      <c r="F605" s="13" t="s">
        <v>960</v>
      </c>
      <c r="G605" s="8">
        <v>9</v>
      </c>
      <c r="H605" s="9">
        <f t="shared" si="24"/>
        <v>1.78038</v>
      </c>
      <c r="I605" s="10">
        <v>3</v>
      </c>
      <c r="J605" s="8">
        <v>540</v>
      </c>
      <c r="K605" s="8">
        <v>1260</v>
      </c>
    </row>
    <row r="606" ht="21" customHeight="1" spans="1:11">
      <c r="A606" s="8">
        <v>8354</v>
      </c>
      <c r="B606" s="8" t="s">
        <v>972</v>
      </c>
      <c r="C606" s="8" t="s">
        <v>42</v>
      </c>
      <c r="E606" s="13" t="s">
        <v>808</v>
      </c>
      <c r="F606" s="13" t="s">
        <v>962</v>
      </c>
      <c r="G606" s="8">
        <v>18</v>
      </c>
      <c r="H606" s="9">
        <f t="shared" si="24"/>
        <v>0.400036</v>
      </c>
      <c r="I606" s="10">
        <v>3.5</v>
      </c>
      <c r="J606" s="8">
        <v>208</v>
      </c>
      <c r="K606" s="8">
        <v>1260</v>
      </c>
    </row>
    <row r="607" ht="21" customHeight="1" spans="1:11">
      <c r="A607" s="8">
        <v>8354</v>
      </c>
      <c r="B607" s="8" t="s">
        <v>973</v>
      </c>
      <c r="C607" s="8" t="s">
        <v>42</v>
      </c>
      <c r="E607" s="13" t="s">
        <v>808</v>
      </c>
      <c r="F607" s="13" t="s">
        <v>964</v>
      </c>
      <c r="G607" s="8">
        <v>19</v>
      </c>
      <c r="H607" s="9">
        <f t="shared" si="24"/>
        <v>0.504701289473684</v>
      </c>
      <c r="I607" s="10">
        <v>3.5</v>
      </c>
      <c r="J607" s="8">
        <v>277</v>
      </c>
      <c r="K607" s="8">
        <v>1260</v>
      </c>
    </row>
    <row r="608" ht="21" customHeight="1" spans="1:11">
      <c r="A608" s="8">
        <v>8354</v>
      </c>
      <c r="B608" s="8" t="s">
        <v>974</v>
      </c>
      <c r="C608" s="8" t="s">
        <v>42</v>
      </c>
      <c r="E608" s="13" t="s">
        <v>808</v>
      </c>
      <c r="F608" s="13" t="s">
        <v>966</v>
      </c>
      <c r="G608" s="8">
        <v>30</v>
      </c>
      <c r="H608" s="9">
        <f t="shared" si="24"/>
        <v>0.13039635</v>
      </c>
      <c r="I608" s="10">
        <v>3.5</v>
      </c>
      <c r="J608" s="8">
        <v>113</v>
      </c>
      <c r="K608" s="8">
        <v>1260</v>
      </c>
    </row>
    <row r="609" ht="21" customHeight="1" spans="1:259">
      <c r="A609" s="8">
        <v>8355</v>
      </c>
      <c r="B609" s="8" t="s">
        <v>975</v>
      </c>
      <c r="C609" s="8" t="s">
        <v>42</v>
      </c>
      <c r="E609" s="13" t="s">
        <v>14</v>
      </c>
      <c r="F609" s="13" t="s">
        <v>30</v>
      </c>
      <c r="G609" s="8">
        <v>4</v>
      </c>
      <c r="H609" s="9">
        <f t="shared" si="24"/>
        <v>3.600324</v>
      </c>
      <c r="I609" s="10">
        <v>3.5</v>
      </c>
      <c r="J609" s="8">
        <v>416</v>
      </c>
      <c r="K609" s="8">
        <v>1260</v>
      </c>
    </row>
    <row r="610" ht="13.5" customHeight="1" spans="1:259">
      <c r="A610" s="8">
        <v>8360</v>
      </c>
      <c r="B610" s="8" t="s">
        <v>967</v>
      </c>
      <c r="C610" s="8" t="s">
        <v>42</v>
      </c>
      <c r="D610" s="13" t="s">
        <v>976</v>
      </c>
      <c r="E610" s="13" t="s">
        <v>14</v>
      </c>
      <c r="F610" s="13" t="s">
        <v>33</v>
      </c>
      <c r="G610" s="8">
        <v>6</v>
      </c>
      <c r="H610" s="9">
        <f t="shared" si="24"/>
        <v>1.71444</v>
      </c>
      <c r="I610" s="10">
        <v>2.5</v>
      </c>
      <c r="J610" s="8">
        <v>416</v>
      </c>
      <c r="K610" s="8">
        <v>1260</v>
      </c>
    </row>
    <row r="611" ht="13.5" customHeight="1" spans="1:259">
      <c r="A611" s="8">
        <v>8360</v>
      </c>
      <c r="B611" s="8" t="s">
        <v>969</v>
      </c>
      <c r="C611" s="8" t="s">
        <v>42</v>
      </c>
      <c r="D611" s="13" t="s">
        <v>976</v>
      </c>
      <c r="E611" s="13" t="s">
        <v>32</v>
      </c>
      <c r="F611" s="13" t="s">
        <v>33</v>
      </c>
      <c r="G611" s="8">
        <v>6</v>
      </c>
      <c r="H611" s="9">
        <f t="shared" si="24"/>
        <v>1.71444</v>
      </c>
      <c r="I611" s="10">
        <v>2.5</v>
      </c>
      <c r="J611" s="8">
        <v>416</v>
      </c>
      <c r="K611" s="8">
        <v>1260</v>
      </c>
    </row>
    <row r="612" ht="13.5" customHeight="1" spans="1:259">
      <c r="A612" s="8">
        <v>8363</v>
      </c>
      <c r="B612" s="8" t="s">
        <v>977</v>
      </c>
      <c r="C612" s="8" t="s">
        <v>42</v>
      </c>
      <c r="E612" s="13" t="s">
        <v>14</v>
      </c>
      <c r="F612" s="13" t="s">
        <v>978</v>
      </c>
      <c r="G612" s="8">
        <v>2</v>
      </c>
      <c r="H612" s="9">
        <f t="shared" si="24"/>
        <v>5.14332</v>
      </c>
      <c r="I612" s="10">
        <v>5</v>
      </c>
      <c r="J612" s="8">
        <v>416</v>
      </c>
      <c r="K612" s="8">
        <v>630</v>
      </c>
    </row>
    <row r="613" customFormat="1"/>
    <row r="614" s="3" customFormat="1" ht="13.5" customHeight="1" spans="1:259">
      <c r="A614" s="8">
        <v>8364</v>
      </c>
      <c r="B614" s="8" t="s">
        <v>979</v>
      </c>
      <c r="C614" s="8" t="s">
        <v>42</v>
      </c>
      <c r="D614" s="13"/>
      <c r="E614" s="13" t="s">
        <v>14</v>
      </c>
      <c r="F614" s="13" t="s">
        <v>415</v>
      </c>
      <c r="G614" s="8">
        <v>4</v>
      </c>
      <c r="H614" s="9">
        <f t="shared" ref="H614:H622" si="25">J614*K614*7.85*I614/G614/1000000</f>
        <v>4.114656</v>
      </c>
      <c r="I614" s="10">
        <v>4</v>
      </c>
      <c r="J614" s="8">
        <v>416</v>
      </c>
      <c r="K614" s="8">
        <v>1260</v>
      </c>
      <c r="L614" s="1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5"/>
      <c r="FI614" s="15"/>
      <c r="FJ614" s="15"/>
      <c r="FK614" s="15"/>
      <c r="FL614" s="15"/>
      <c r="FM614" s="15"/>
      <c r="FN614" s="15"/>
      <c r="FO614" s="15"/>
      <c r="FP614" s="15"/>
      <c r="FQ614" s="15"/>
      <c r="FR614" s="15"/>
      <c r="FS614" s="15"/>
      <c r="FT614" s="15"/>
      <c r="FU614" s="15"/>
      <c r="FV614" s="15"/>
      <c r="FW614" s="15"/>
      <c r="FX614" s="15"/>
      <c r="FY614" s="15"/>
      <c r="FZ614" s="15"/>
      <c r="GA614" s="15"/>
      <c r="GB614" s="15"/>
      <c r="GC614" s="15"/>
      <c r="GD614" s="15"/>
      <c r="GE614" s="15"/>
      <c r="GF614" s="15"/>
      <c r="GG614" s="15"/>
      <c r="GH614" s="15"/>
      <c r="GI614" s="15"/>
      <c r="GJ614" s="15"/>
      <c r="GK614" s="15"/>
      <c r="GL614" s="15"/>
      <c r="GM614" s="15"/>
      <c r="GN614" s="15"/>
      <c r="GO614" s="15"/>
      <c r="GP614" s="15"/>
      <c r="GQ614" s="15"/>
      <c r="GR614" s="15"/>
      <c r="GS614" s="15"/>
      <c r="GT614" s="15"/>
      <c r="GU614" s="15"/>
      <c r="GV614" s="15"/>
      <c r="GW614" s="15"/>
      <c r="GX614" s="15"/>
      <c r="GY614" s="15"/>
      <c r="GZ614" s="15"/>
      <c r="HA614" s="15"/>
      <c r="HB614" s="15"/>
      <c r="HC614" s="15"/>
      <c r="HD614" s="15"/>
      <c r="HE614" s="15"/>
      <c r="HF614" s="15"/>
      <c r="HG614" s="15"/>
      <c r="HH614" s="15"/>
      <c r="HI614" s="15"/>
      <c r="HJ614" s="15"/>
      <c r="HK614" s="15"/>
      <c r="HL614" s="15"/>
      <c r="HM614" s="15"/>
      <c r="HN614" s="15"/>
      <c r="HO614" s="15"/>
      <c r="HP614" s="15"/>
      <c r="HQ614" s="15"/>
      <c r="HR614" s="15"/>
      <c r="HS614" s="15"/>
      <c r="HT614" s="15"/>
      <c r="HU614" s="15"/>
      <c r="HV614" s="15"/>
      <c r="HW614" s="15"/>
      <c r="HX614" s="15"/>
      <c r="HY614" s="15"/>
      <c r="HZ614" s="15"/>
      <c r="IA614" s="15"/>
      <c r="IB614" s="15"/>
      <c r="IC614" s="15"/>
      <c r="ID614" s="15"/>
      <c r="IE614" s="15"/>
      <c r="IF614" s="15"/>
      <c r="IG614" s="15"/>
      <c r="IH614" s="15"/>
      <c r="II614" s="15"/>
      <c r="IJ614" s="15"/>
      <c r="IK614" s="15"/>
      <c r="IL614" s="15"/>
      <c r="IM614" s="15"/>
      <c r="IN614" s="15"/>
      <c r="IO614" s="15"/>
      <c r="IP614" s="15"/>
      <c r="IQ614" s="15"/>
      <c r="IR614" s="15"/>
      <c r="IS614" s="15"/>
      <c r="IT614" s="15"/>
      <c r="IU614" s="15"/>
      <c r="IV614" s="15"/>
      <c r="IW614" s="15"/>
      <c r="IX614" s="15"/>
      <c r="IY614" s="15"/>
    </row>
    <row r="615" ht="13.5" customHeight="1" spans="1:259">
      <c r="A615" s="8">
        <v>8375</v>
      </c>
      <c r="B615" s="8" t="s">
        <v>980</v>
      </c>
      <c r="C615" s="8" t="s">
        <v>42</v>
      </c>
      <c r="D615" s="13" t="s">
        <v>981</v>
      </c>
      <c r="E615" s="13" t="s">
        <v>14</v>
      </c>
      <c r="F615" s="13" t="s">
        <v>122</v>
      </c>
      <c r="G615" s="8">
        <v>4</v>
      </c>
      <c r="H615" s="9">
        <f t="shared" si="25"/>
        <v>2.206929375</v>
      </c>
      <c r="I615" s="10">
        <v>2.5</v>
      </c>
      <c r="J615" s="8">
        <v>357</v>
      </c>
      <c r="K615" s="8">
        <v>1260</v>
      </c>
    </row>
    <row r="616" ht="13.5" customHeight="1" spans="1:259">
      <c r="A616" s="8">
        <v>8375</v>
      </c>
      <c r="B616" s="8" t="s">
        <v>982</v>
      </c>
      <c r="C616" s="8" t="s">
        <v>42</v>
      </c>
      <c r="D616" s="13" t="s">
        <v>981</v>
      </c>
      <c r="E616" s="13" t="s">
        <v>32</v>
      </c>
      <c r="F616" s="13" t="s">
        <v>33</v>
      </c>
      <c r="G616" s="8">
        <v>4</v>
      </c>
      <c r="H616" s="9">
        <f t="shared" si="25"/>
        <v>2.206929375</v>
      </c>
      <c r="I616" s="10">
        <v>2.5</v>
      </c>
      <c r="J616" s="8">
        <v>357</v>
      </c>
      <c r="K616" s="8">
        <v>1260</v>
      </c>
    </row>
    <row r="617" ht="13.5" customHeight="1" spans="1:259">
      <c r="A617" s="8">
        <v>8375</v>
      </c>
      <c r="B617" s="8" t="s">
        <v>983</v>
      </c>
      <c r="C617" s="8" t="s">
        <v>42</v>
      </c>
      <c r="D617" s="13" t="s">
        <v>981</v>
      </c>
      <c r="E617" s="13" t="s">
        <v>160</v>
      </c>
      <c r="F617" s="13" t="s">
        <v>33</v>
      </c>
      <c r="G617" s="8">
        <v>10</v>
      </c>
      <c r="H617" s="9">
        <f t="shared" si="25"/>
        <v>1.028664</v>
      </c>
      <c r="I617" s="10">
        <v>2.5</v>
      </c>
      <c r="J617" s="8">
        <v>416</v>
      </c>
      <c r="K617" s="8">
        <v>1260</v>
      </c>
    </row>
    <row r="618" ht="13.5" customHeight="1" spans="1:259">
      <c r="A618" s="8">
        <v>8364</v>
      </c>
      <c r="B618" s="8" t="s">
        <v>979</v>
      </c>
      <c r="C618" s="8" t="s">
        <v>42</v>
      </c>
      <c r="D618" s="13" t="s">
        <v>984</v>
      </c>
      <c r="E618" s="13" t="s">
        <v>14</v>
      </c>
      <c r="F618" s="13" t="s">
        <v>415</v>
      </c>
      <c r="G618" s="8">
        <v>4</v>
      </c>
      <c r="H618" s="9">
        <f t="shared" si="25"/>
        <v>4.114656</v>
      </c>
      <c r="I618" s="10">
        <v>4</v>
      </c>
      <c r="J618" s="8">
        <v>416</v>
      </c>
      <c r="K618" s="8">
        <v>1260</v>
      </c>
    </row>
    <row r="619" ht="13.5" customHeight="1" spans="1:259">
      <c r="A619" s="8">
        <v>8402</v>
      </c>
      <c r="B619" s="8" t="s">
        <v>985</v>
      </c>
      <c r="C619" s="8" t="s">
        <v>42</v>
      </c>
      <c r="E619" s="13" t="s">
        <v>14</v>
      </c>
      <c r="F619" s="13" t="s">
        <v>415</v>
      </c>
      <c r="G619" s="8">
        <v>4</v>
      </c>
      <c r="H619" s="9">
        <f t="shared" si="25"/>
        <v>4.114656</v>
      </c>
      <c r="I619" s="10">
        <v>4</v>
      </c>
      <c r="J619" s="8">
        <v>416</v>
      </c>
      <c r="K619" s="8">
        <v>1260</v>
      </c>
    </row>
    <row r="620" ht="13.5" customHeight="1" spans="1:259">
      <c r="A620" s="8">
        <v>9023</v>
      </c>
      <c r="B620" s="8" t="s">
        <v>986</v>
      </c>
      <c r="C620" s="8" t="s">
        <v>42</v>
      </c>
      <c r="D620" s="13" t="s">
        <v>987</v>
      </c>
      <c r="E620" s="13" t="s">
        <v>14</v>
      </c>
      <c r="F620" s="13" t="s">
        <v>122</v>
      </c>
      <c r="G620" s="8">
        <v>4</v>
      </c>
      <c r="H620" s="9">
        <f t="shared" si="25"/>
        <v>2.206929375</v>
      </c>
      <c r="I620" s="10">
        <v>2.5</v>
      </c>
      <c r="J620" s="8">
        <v>357</v>
      </c>
      <c r="K620" s="8">
        <v>1260</v>
      </c>
    </row>
    <row r="621" ht="13.5" customHeight="1" spans="1:259">
      <c r="A621" s="8">
        <v>9023</v>
      </c>
      <c r="B621" s="8" t="s">
        <v>988</v>
      </c>
      <c r="C621" s="8" t="s">
        <v>42</v>
      </c>
      <c r="D621" s="13" t="s">
        <v>987</v>
      </c>
      <c r="E621" s="13" t="s">
        <v>32</v>
      </c>
      <c r="F621" s="13" t="s">
        <v>122</v>
      </c>
      <c r="G621" s="8">
        <v>4</v>
      </c>
      <c r="H621" s="9">
        <f t="shared" si="25"/>
        <v>2.206929375</v>
      </c>
      <c r="I621" s="10">
        <v>2.5</v>
      </c>
      <c r="J621" s="8">
        <v>357</v>
      </c>
      <c r="K621" s="8">
        <v>1260</v>
      </c>
    </row>
    <row r="622" ht="13.5" customHeight="1" spans="1:259">
      <c r="A622" s="8">
        <v>9023</v>
      </c>
      <c r="B622" s="8" t="s">
        <v>989</v>
      </c>
      <c r="C622" s="8" t="s">
        <v>42</v>
      </c>
      <c r="D622" s="13" t="s">
        <v>987</v>
      </c>
      <c r="E622" s="13" t="s">
        <v>990</v>
      </c>
      <c r="F622" s="13" t="s">
        <v>122</v>
      </c>
      <c r="G622" s="8">
        <v>9</v>
      </c>
      <c r="H622" s="9">
        <f t="shared" si="25"/>
        <v>0.52752</v>
      </c>
      <c r="I622" s="10">
        <v>2.5</v>
      </c>
      <c r="J622" s="8">
        <v>192</v>
      </c>
      <c r="K622" s="8">
        <v>1260</v>
      </c>
    </row>
    <row r="623" ht="13.5" customHeight="1" spans="1:259">
      <c r="H623" s="9"/>
    </row>
    <row r="624" ht="13.5" customHeight="1" spans="1:259">
      <c r="H624" s="9"/>
    </row>
    <row r="625" ht="13.5" customHeight="1" spans="8:8">
      <c r="H625" s="9"/>
    </row>
    <row r="626" ht="13.5" customHeight="1" spans="8:8">
      <c r="H626" s="9"/>
    </row>
    <row r="627" ht="13.5" customHeight="1" spans="8:8">
      <c r="H627" s="9"/>
    </row>
    <row r="628" ht="13.5" customHeight="1" spans="8:8">
      <c r="H628" s="9"/>
    </row>
    <row r="629" ht="13.5" customHeight="1" spans="8:8">
      <c r="H629" s="9"/>
    </row>
    <row r="630" ht="13.5" customHeight="1" spans="8:8">
      <c r="H630" s="9"/>
    </row>
    <row r="631" ht="13.5" customHeight="1" spans="8:8">
      <c r="H631" s="9"/>
    </row>
    <row r="632" ht="13.5" customHeight="1" spans="8:8">
      <c r="H632" s="9"/>
    </row>
    <row r="633" ht="13.5" customHeight="1" spans="8:8">
      <c r="H633" s="9"/>
    </row>
    <row r="634" ht="13.5" customHeight="1" spans="8:8">
      <c r="H634" s="9"/>
    </row>
    <row r="635" ht="13.5" customHeight="1" spans="8:8">
      <c r="H635" s="9"/>
    </row>
    <row r="636" ht="13.5" customHeight="1" spans="8:8">
      <c r="H636" s="9"/>
    </row>
    <row r="637" ht="13.5" customHeight="1" spans="8:8">
      <c r="H637" s="9"/>
    </row>
    <row r="638" ht="13.5" customHeight="1" spans="8:8">
      <c r="H638" s="9"/>
    </row>
    <row r="639" ht="13.5" customHeight="1" spans="8:8">
      <c r="H639" s="9"/>
    </row>
    <row r="640" ht="13.5" customHeight="1" spans="8:8">
      <c r="H640" s="9"/>
    </row>
    <row r="641" ht="13.5" customHeight="1" spans="8:8">
      <c r="H641" s="9"/>
    </row>
    <row r="642" ht="13.5" customHeight="1" spans="8:8">
      <c r="H642" s="9"/>
    </row>
    <row r="643" ht="13.5" customHeight="1" spans="8:8">
      <c r="H643" s="9"/>
    </row>
    <row r="644" ht="13.5" customHeight="1" spans="8:8">
      <c r="H644" s="9"/>
    </row>
    <row r="645" ht="13.5" customHeight="1" spans="8:8">
      <c r="H645" s="9"/>
    </row>
    <row r="646" ht="13.5" customHeight="1" spans="8:8">
      <c r="H646" s="9"/>
    </row>
    <row r="647" ht="13.5" customHeight="1" spans="8:8">
      <c r="H647" s="9"/>
    </row>
    <row r="648" ht="13.5" customHeight="1" spans="8:8">
      <c r="H648" s="9"/>
    </row>
    <row r="649" ht="13.5" customHeight="1" spans="8:8">
      <c r="H649" s="9"/>
    </row>
    <row r="650" ht="13.5" customHeight="1" spans="8:8">
      <c r="H650" s="9"/>
    </row>
    <row r="651" ht="13.5" customHeight="1" spans="8:8">
      <c r="H651" s="9"/>
    </row>
    <row r="652" ht="13.5" customHeight="1" spans="8:8">
      <c r="H652" s="9"/>
    </row>
    <row r="653" ht="13.5" customHeight="1" spans="8:8">
      <c r="H653" s="9"/>
    </row>
    <row r="654" ht="13.5" customHeight="1" spans="8:8">
      <c r="H654" s="9"/>
    </row>
    <row r="655" ht="13.5" customHeight="1" spans="8:8">
      <c r="H655" s="9"/>
    </row>
    <row r="656" ht="13.5" customHeight="1" spans="8:8">
      <c r="H656" s="9"/>
    </row>
    <row r="657" ht="13.5" customHeight="1" spans="8:8">
      <c r="H657" s="9"/>
    </row>
    <row r="658" ht="13.5" customHeight="1" spans="8:8">
      <c r="H658" s="9"/>
    </row>
    <row r="659" ht="13.5" customHeight="1" spans="8:8">
      <c r="H659" s="9"/>
    </row>
    <row r="660" ht="13.5" customHeight="1" spans="8:8">
      <c r="H660" s="9"/>
    </row>
    <row r="661" ht="13.5" customHeight="1" spans="8:8">
      <c r="H661" s="9"/>
    </row>
    <row r="662" ht="13.5" customHeight="1" spans="8:8">
      <c r="H662" s="9"/>
    </row>
    <row r="663" ht="13.5" customHeight="1" spans="8:8">
      <c r="H663" s="9"/>
    </row>
    <row r="664" ht="13.5" customHeight="1" spans="8:8">
      <c r="H664" s="9"/>
    </row>
    <row r="665" ht="13.5" customHeight="1" spans="8:8">
      <c r="H665" s="9"/>
    </row>
    <row r="666" ht="13.5" customHeight="1" spans="8:8">
      <c r="H666" s="9"/>
    </row>
    <row r="667" ht="13.5" customHeight="1" spans="8:8">
      <c r="H667" s="9"/>
    </row>
    <row r="668" ht="13.5" customHeight="1" spans="8:8">
      <c r="H668" s="9"/>
    </row>
    <row r="669" ht="13.5" customHeight="1" spans="8:8">
      <c r="H669" s="9"/>
    </row>
    <row r="670" ht="13.5" customHeight="1" spans="8:8">
      <c r="H670" s="9"/>
    </row>
    <row r="671" ht="13.5" customHeight="1" spans="8:8">
      <c r="H671" s="9"/>
    </row>
    <row r="672" ht="13.5" customHeight="1" spans="8:8">
      <c r="H672" s="9"/>
    </row>
    <row r="673" ht="13.5" customHeight="1" spans="8:8">
      <c r="H673" s="9"/>
    </row>
    <row r="674" ht="13.5" customHeight="1" spans="8:8">
      <c r="H674" s="9"/>
    </row>
    <row r="675" ht="13.5" customHeight="1" spans="8:8">
      <c r="H675" s="9"/>
    </row>
    <row r="676" ht="13.5" customHeight="1" spans="8:8">
      <c r="H676" s="9"/>
    </row>
    <row r="677" ht="13.5" customHeight="1" spans="8:8">
      <c r="H677" s="9"/>
    </row>
    <row r="678" ht="13.5" customHeight="1" spans="8:8">
      <c r="H678" s="9"/>
    </row>
    <row r="679" ht="13.5" customHeight="1" spans="8:8">
      <c r="H679" s="9"/>
    </row>
    <row r="680" ht="13.5" customHeight="1" spans="8:8">
      <c r="H680" s="9"/>
    </row>
    <row r="681" ht="13.5" customHeight="1" spans="8:8">
      <c r="H681" s="9"/>
    </row>
    <row r="682" ht="13.5" customHeight="1" spans="8:8">
      <c r="H682" s="9"/>
    </row>
    <row r="683" ht="13.5" customHeight="1" spans="8:8">
      <c r="H683" s="9"/>
    </row>
    <row r="684" ht="13.5" customHeight="1" spans="8:8">
      <c r="H684" s="9"/>
    </row>
    <row r="685" ht="13.5" customHeight="1" spans="8:8">
      <c r="H685" s="9"/>
    </row>
    <row r="686" ht="13.5" customHeight="1" spans="8:8">
      <c r="H686" s="9"/>
    </row>
    <row r="687" ht="13.5" customHeight="1" spans="8:8">
      <c r="H687" s="9"/>
    </row>
    <row r="688" ht="13.5" customHeight="1" spans="8:8">
      <c r="H688" s="9"/>
    </row>
    <row r="689" ht="13.5" customHeight="1" spans="8:8">
      <c r="H689" s="9"/>
    </row>
    <row r="690" ht="13.5" customHeight="1" spans="8:8">
      <c r="H690" s="9"/>
    </row>
    <row r="691" ht="13.5" customHeight="1" spans="8:8">
      <c r="H691" s="9"/>
    </row>
    <row r="692" ht="13.5" customHeight="1" spans="8:8">
      <c r="H692" s="9"/>
    </row>
    <row r="693" ht="13.5" customHeight="1" spans="8:8">
      <c r="H693" s="9"/>
    </row>
    <row r="694" ht="13.5" customHeight="1" spans="8:8">
      <c r="H694" s="9"/>
    </row>
    <row r="695" ht="13.5" customHeight="1" spans="8:8">
      <c r="H695" s="9"/>
    </row>
    <row r="696" ht="13.5" customHeight="1" spans="8:8">
      <c r="H696" s="9"/>
    </row>
    <row r="697" ht="13.5" customHeight="1" spans="8:8">
      <c r="H697" s="9"/>
    </row>
    <row r="698" ht="13.5" customHeight="1" spans="8:8">
      <c r="H698" s="9"/>
    </row>
    <row r="699" ht="13.5" customHeight="1" spans="8:8">
      <c r="H699" s="9"/>
    </row>
    <row r="700" ht="13.5" customHeight="1" spans="8:8">
      <c r="H700" s="9"/>
    </row>
    <row r="701" ht="13.5" customHeight="1" spans="8:8">
      <c r="H701" s="9"/>
    </row>
    <row r="702" ht="13.5" customHeight="1" spans="8:8">
      <c r="H702" s="9"/>
    </row>
    <row r="703" ht="13.5" customHeight="1" spans="8:8">
      <c r="H703" s="9"/>
    </row>
    <row r="704" ht="13.5" customHeight="1" spans="8:8">
      <c r="H704" s="9"/>
    </row>
    <row r="705" ht="13.5" customHeight="1" spans="8:8">
      <c r="H705" s="9"/>
    </row>
    <row r="706" ht="13.5" customHeight="1" spans="8:8">
      <c r="H706" s="9"/>
    </row>
    <row r="707" ht="13.5" customHeight="1" spans="8:8">
      <c r="H707" s="9"/>
    </row>
    <row r="708" ht="13.5" customHeight="1" spans="8:8">
      <c r="H708" s="9"/>
    </row>
    <row r="709" ht="13.5" customHeight="1" spans="8:8">
      <c r="H709" s="9"/>
    </row>
    <row r="710" ht="13.5" customHeight="1" spans="8:8">
      <c r="H710" s="9"/>
    </row>
    <row r="711" ht="13.5" customHeight="1" spans="8:8">
      <c r="H711" s="9"/>
    </row>
    <row r="712" ht="13.5" customHeight="1" spans="8:8">
      <c r="H712" s="9"/>
    </row>
    <row r="713" ht="13.5" customHeight="1" spans="8:8">
      <c r="H713" s="9"/>
    </row>
    <row r="714" ht="13.5" customHeight="1" spans="8:8">
      <c r="H714" s="9"/>
    </row>
    <row r="715" ht="13.5" customHeight="1" spans="8:8">
      <c r="H715" s="9"/>
    </row>
    <row r="716" ht="13.5" customHeight="1" spans="8:8">
      <c r="H716" s="9"/>
    </row>
    <row r="717" ht="13.5" customHeight="1" spans="8:8">
      <c r="H717" s="9"/>
    </row>
    <row r="718" ht="13.5" customHeight="1" spans="8:8">
      <c r="H718" s="9"/>
    </row>
    <row r="719" ht="13.5" customHeight="1" spans="8:8">
      <c r="H719" s="9"/>
    </row>
  </sheetData>
  <autoFilter xmlns:etc="http://www.wps.cn/officeDocument/2017/etCustomData" ref="A1:R622" etc:filterBottomFollowUsedRange="0">
    <extLst/>
  </autoFilter>
  <pageMargins left="0.7" right="0.7" top="0.75" bottom="0.75" header="0.3" footer="0.3"/>
  <pageSetup paperSize="9" orientation="portrait"/>
  <headerFooter/>
  <ignoredErrors>
    <ignoredError sqref="A558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494"/>
  <sheetViews>
    <sheetView workbookViewId="0">
      <pane xSplit="1" ySplit="1" topLeftCell="B306" activePane="bottomRight" state="frozen"/>
      <selection/>
      <selection pane="topRight"/>
      <selection pane="bottomLeft"/>
      <selection pane="bottomRight" activeCell="I331" sqref="I331"/>
    </sheetView>
  </sheetViews>
  <sheetFormatPr defaultColWidth="8.6875" defaultRowHeight="17.6"/>
  <cols>
    <col min="1" max="1" width="9" style="17"/>
    <col min="2" max="2" width="18.6875" customWidth="1"/>
    <col min="7" max="7" width="9" style="18"/>
    <col min="9" max="9" width="53.1875" customWidth="1"/>
    <col min="10" max="10" width="10.5" customWidth="1"/>
    <col min="11" max="13" width="12.6875" customWidth="1"/>
    <col min="14" max="34" width="9.1875" customWidth="1"/>
    <col min="35" max="35" width="5.1875" customWidth="1"/>
  </cols>
  <sheetData>
    <row r="1" spans="1:18">
      <c r="A1" s="19" t="s">
        <v>991</v>
      </c>
      <c r="B1" s="20" t="s">
        <v>992</v>
      </c>
      <c r="C1" s="20" t="s">
        <v>993</v>
      </c>
      <c r="D1" s="20" t="s">
        <v>994</v>
      </c>
      <c r="E1" s="20" t="s">
        <v>995</v>
      </c>
      <c r="F1" s="20" t="s">
        <v>996</v>
      </c>
      <c r="G1" s="21" t="s">
        <v>997</v>
      </c>
      <c r="H1" s="20" t="s">
        <v>998</v>
      </c>
      <c r="I1" s="22" t="s">
        <v>999</v>
      </c>
      <c r="P1" s="20"/>
      <c r="Q1" s="20"/>
      <c r="R1" s="20"/>
    </row>
    <row r="2" spans="1:18">
      <c r="A2" s="19">
        <v>6004</v>
      </c>
      <c r="B2" s="20"/>
      <c r="C2" s="20">
        <v>2</v>
      </c>
      <c r="D2" s="20">
        <v>2.9</v>
      </c>
      <c r="E2" s="20"/>
      <c r="F2" s="20"/>
      <c r="G2" s="21"/>
      <c r="H2" s="20"/>
      <c r="I2" s="22"/>
      <c r="P2" s="20"/>
      <c r="Q2" s="20"/>
      <c r="R2" s="20"/>
    </row>
    <row r="3" spans="1:18">
      <c r="A3" s="19">
        <v>6006</v>
      </c>
      <c r="B3" s="20"/>
      <c r="C3" s="20">
        <v>2</v>
      </c>
      <c r="D3" s="20">
        <v>2.2</v>
      </c>
      <c r="E3" s="20">
        <v>1.2</v>
      </c>
      <c r="F3" s="20">
        <v>1</v>
      </c>
      <c r="G3" s="21"/>
      <c r="H3" s="20">
        <v>2</v>
      </c>
      <c r="I3" s="22"/>
      <c r="P3" s="20"/>
      <c r="Q3" s="20"/>
      <c r="R3" s="20"/>
    </row>
    <row r="4" spans="1:18">
      <c r="A4" s="19">
        <v>6008</v>
      </c>
      <c r="B4" s="20"/>
      <c r="C4" s="20">
        <v>2</v>
      </c>
      <c r="D4" s="20">
        <v>1.6</v>
      </c>
      <c r="E4" s="20">
        <v>1.8</v>
      </c>
      <c r="F4" s="20">
        <f>D4-E4</f>
        <v>-0.2</v>
      </c>
      <c r="G4" s="21"/>
      <c r="H4" s="20">
        <f t="shared" ref="H4:H5" si="0">C4*F4</f>
        <v>-0.4</v>
      </c>
      <c r="I4" s="22"/>
      <c r="P4" s="20"/>
      <c r="Q4" s="20"/>
      <c r="R4" s="20"/>
    </row>
    <row r="5" spans="1:18">
      <c r="A5" s="19">
        <v>6008</v>
      </c>
      <c r="B5" s="20"/>
      <c r="C5" s="20">
        <v>2</v>
      </c>
      <c r="D5" s="20">
        <v>1.14</v>
      </c>
      <c r="E5" s="20">
        <v>0</v>
      </c>
      <c r="F5" s="20">
        <f>D5-E5</f>
        <v>1.14</v>
      </c>
      <c r="G5" s="21"/>
      <c r="H5" s="20">
        <f t="shared" si="0"/>
        <v>2.28</v>
      </c>
      <c r="I5" s="22"/>
      <c r="P5" s="20"/>
      <c r="Q5" s="20"/>
      <c r="R5" s="20"/>
    </row>
    <row r="6" spans="1:18">
      <c r="A6" s="19">
        <v>6025</v>
      </c>
      <c r="B6" s="20"/>
      <c r="C6" s="20">
        <v>2</v>
      </c>
      <c r="D6" s="20">
        <v>2.88</v>
      </c>
      <c r="E6" s="20"/>
      <c r="F6" s="20"/>
      <c r="G6" s="21"/>
      <c r="H6" s="20"/>
      <c r="I6" s="22"/>
      <c r="P6" s="20"/>
      <c r="Q6" s="20"/>
      <c r="R6" s="20"/>
    </row>
    <row r="7" spans="1:18">
      <c r="A7" s="19">
        <v>6036</v>
      </c>
      <c r="B7" s="20"/>
      <c r="C7" s="20">
        <v>2</v>
      </c>
      <c r="D7" s="20">
        <v>2.61</v>
      </c>
      <c r="E7" s="20">
        <v>1.8</v>
      </c>
      <c r="F7" s="20">
        <v>0.81</v>
      </c>
      <c r="G7" s="21">
        <f>F7/D7</f>
        <v>0.310344827586207</v>
      </c>
      <c r="H7" s="20">
        <f>C7*F7</f>
        <v>1.62</v>
      </c>
      <c r="I7" s="22"/>
      <c r="P7" s="20"/>
      <c r="Q7" s="20"/>
      <c r="R7" s="20"/>
    </row>
    <row r="8" spans="1:18">
      <c r="A8" s="19">
        <v>6189</v>
      </c>
      <c r="B8" s="20"/>
      <c r="C8" s="20">
        <v>2</v>
      </c>
      <c r="D8" s="20">
        <v>2.83</v>
      </c>
      <c r="E8" s="20">
        <v>1.69</v>
      </c>
      <c r="F8" s="20">
        <v>0.81</v>
      </c>
      <c r="G8" s="21">
        <f>F8/D8</f>
        <v>0.286219081272085</v>
      </c>
      <c r="H8" s="20">
        <f>C8*F8</f>
        <v>1.62</v>
      </c>
      <c r="I8" s="22"/>
      <c r="P8" s="20"/>
      <c r="Q8" s="20"/>
      <c r="R8" s="20"/>
    </row>
    <row r="9" spans="1:18">
      <c r="A9" s="19">
        <v>8001</v>
      </c>
      <c r="B9" s="20" t="s">
        <v>14</v>
      </c>
      <c r="C9" s="20">
        <v>2</v>
      </c>
      <c r="D9" s="20">
        <v>2.51</v>
      </c>
      <c r="E9" s="20">
        <v>1.48</v>
      </c>
      <c r="F9" s="20">
        <f>D9-E9</f>
        <v>1.03</v>
      </c>
      <c r="G9" s="21">
        <f>F9/D9</f>
        <v>0.410358565737052</v>
      </c>
      <c r="H9" s="20">
        <f>C9*F9</f>
        <v>2.06</v>
      </c>
      <c r="P9" s="20"/>
      <c r="Q9" s="20"/>
      <c r="R9" s="20"/>
    </row>
    <row r="10" spans="1:18">
      <c r="A10" s="19">
        <v>8001</v>
      </c>
      <c r="B10" s="20" t="s">
        <v>32</v>
      </c>
      <c r="C10" s="20"/>
      <c r="D10" s="20"/>
      <c r="E10" s="20"/>
      <c r="F10" s="20"/>
      <c r="G10" s="21"/>
      <c r="H10" s="20"/>
      <c r="P10" s="20"/>
      <c r="Q10" s="20"/>
      <c r="R10" s="20"/>
    </row>
    <row r="11" spans="1:18">
      <c r="A11" s="19">
        <v>8002</v>
      </c>
      <c r="B11" s="20" t="s">
        <v>14</v>
      </c>
      <c r="C11" s="20">
        <v>2</v>
      </c>
      <c r="D11" s="20">
        <v>2.58</v>
      </c>
      <c r="E11" s="20">
        <v>1.71</v>
      </c>
      <c r="F11">
        <f t="shared" ref="F11:F137" si="1">D11-E11</f>
        <v>0.87</v>
      </c>
      <c r="G11" s="18">
        <f>F11/D11</f>
        <v>0.337209302325581</v>
      </c>
      <c r="H11">
        <f t="shared" ref="H11:H52" si="2">F11*C11</f>
        <v>1.74</v>
      </c>
    </row>
    <row r="12" spans="1:18">
      <c r="A12" s="19">
        <v>8003</v>
      </c>
      <c r="B12" s="20" t="s">
        <v>14</v>
      </c>
      <c r="C12" s="20">
        <v>2</v>
      </c>
      <c r="D12" s="20">
        <v>2.63</v>
      </c>
      <c r="E12">
        <v>1.73</v>
      </c>
      <c r="F12">
        <f t="shared" si="1"/>
        <v>0.9</v>
      </c>
      <c r="G12" s="18">
        <f>F12/D12</f>
        <v>0.342205323193916</v>
      </c>
      <c r="H12">
        <f t="shared" si="2"/>
        <v>1.8</v>
      </c>
    </row>
    <row r="13" spans="1:18">
      <c r="A13" s="19">
        <v>8003</v>
      </c>
      <c r="B13" s="20" t="s">
        <v>32</v>
      </c>
      <c r="C13" s="20">
        <v>2</v>
      </c>
      <c r="D13" s="20">
        <v>0.88</v>
      </c>
      <c r="E13">
        <v>0.41</v>
      </c>
      <c r="F13">
        <f t="shared" si="1"/>
        <v>0.47</v>
      </c>
      <c r="G13" s="18">
        <f>F13/D13</f>
        <v>0.534090909090909</v>
      </c>
      <c r="H13">
        <f t="shared" si="2"/>
        <v>0.94</v>
      </c>
    </row>
    <row r="14" spans="1:18">
      <c r="A14" s="19">
        <v>8004</v>
      </c>
      <c r="B14" s="20" t="s">
        <v>14</v>
      </c>
      <c r="C14" s="20">
        <v>2</v>
      </c>
      <c r="D14" s="20">
        <v>2.86</v>
      </c>
      <c r="E14" s="20">
        <v>1.77</v>
      </c>
      <c r="F14">
        <f t="shared" si="1"/>
        <v>1.09</v>
      </c>
      <c r="G14" s="18">
        <f>F14/D14</f>
        <v>0.381118881118881</v>
      </c>
      <c r="H14">
        <f t="shared" si="2"/>
        <v>2.18</v>
      </c>
    </row>
    <row r="15" spans="1:18">
      <c r="A15" s="19">
        <v>8005</v>
      </c>
      <c r="B15" s="20" t="s">
        <v>14</v>
      </c>
      <c r="C15" s="20">
        <v>2</v>
      </c>
      <c r="D15" s="20">
        <v>1.28</v>
      </c>
      <c r="E15" s="20">
        <v>0.83</v>
      </c>
      <c r="F15">
        <f t="shared" si="1"/>
        <v>0.45</v>
      </c>
      <c r="G15" s="18">
        <f t="shared" ref="G15:G139" si="3">F15/D15</f>
        <v>0.3515625</v>
      </c>
      <c r="H15">
        <f t="shared" si="2"/>
        <v>0.9</v>
      </c>
    </row>
    <row r="16" spans="1:18">
      <c r="A16" s="19">
        <v>8005</v>
      </c>
      <c r="B16" s="20" t="s">
        <v>32</v>
      </c>
      <c r="C16" s="20">
        <v>2</v>
      </c>
      <c r="D16" s="20">
        <v>1.28</v>
      </c>
      <c r="E16" s="20">
        <v>0.73</v>
      </c>
      <c r="F16">
        <f t="shared" si="1"/>
        <v>0.55</v>
      </c>
      <c r="G16" s="18">
        <f t="shared" si="3"/>
        <v>0.4296875</v>
      </c>
      <c r="H16">
        <f t="shared" si="2"/>
        <v>1.1</v>
      </c>
    </row>
    <row r="17" spans="1:13">
      <c r="A17" s="19">
        <v>8006</v>
      </c>
      <c r="B17" s="20" t="s">
        <v>14</v>
      </c>
      <c r="C17" s="20">
        <v>2</v>
      </c>
      <c r="D17" s="20">
        <v>3.07</v>
      </c>
      <c r="E17" s="20">
        <v>2.11</v>
      </c>
      <c r="F17">
        <f t="shared" si="1"/>
        <v>0.96</v>
      </c>
      <c r="G17" s="18">
        <f t="shared" si="3"/>
        <v>0.312703583061889</v>
      </c>
      <c r="H17">
        <f t="shared" si="2"/>
        <v>1.92</v>
      </c>
    </row>
    <row r="18" spans="1:13">
      <c r="A18" s="19">
        <v>8006</v>
      </c>
      <c r="B18" s="20" t="s">
        <v>32</v>
      </c>
      <c r="C18" s="20">
        <v>2</v>
      </c>
      <c r="D18" s="20">
        <v>0.86</v>
      </c>
      <c r="E18" s="20">
        <v>0.45</v>
      </c>
      <c r="F18">
        <f t="shared" si="1"/>
        <v>0.41</v>
      </c>
      <c r="G18" s="18">
        <f t="shared" si="3"/>
        <v>0.476744186046512</v>
      </c>
      <c r="H18">
        <f t="shared" si="2"/>
        <v>0.82</v>
      </c>
    </row>
    <row r="19" spans="1:13">
      <c r="A19" s="19">
        <v>8007</v>
      </c>
      <c r="B19" s="20" t="s">
        <v>14</v>
      </c>
      <c r="C19" s="20">
        <v>2</v>
      </c>
      <c r="D19" s="20">
        <v>1.91</v>
      </c>
      <c r="E19" s="20">
        <v>1.12</v>
      </c>
      <c r="F19">
        <f t="shared" si="1"/>
        <v>0.79</v>
      </c>
      <c r="G19" s="18">
        <f t="shared" si="3"/>
        <v>0.413612565445026</v>
      </c>
      <c r="H19">
        <f t="shared" si="2"/>
        <v>1.58</v>
      </c>
    </row>
    <row r="20" spans="1:13">
      <c r="A20" s="19">
        <v>8007</v>
      </c>
      <c r="B20" s="20" t="s">
        <v>32</v>
      </c>
      <c r="C20" s="20">
        <v>2</v>
      </c>
      <c r="D20" s="20">
        <v>1.46</v>
      </c>
      <c r="E20" s="20">
        <v>0.82</v>
      </c>
      <c r="F20">
        <f t="shared" si="1"/>
        <v>0.64</v>
      </c>
      <c r="G20" s="18">
        <f t="shared" si="3"/>
        <v>0.438356164383562</v>
      </c>
      <c r="H20">
        <f t="shared" si="2"/>
        <v>1.28</v>
      </c>
    </row>
    <row r="21" spans="1:13">
      <c r="A21" s="19">
        <v>8007</v>
      </c>
      <c r="B21" s="20" t="s">
        <v>91</v>
      </c>
      <c r="C21" s="20">
        <v>2</v>
      </c>
      <c r="D21" s="20">
        <v>0.2</v>
      </c>
      <c r="E21" s="20">
        <v>0.13</v>
      </c>
      <c r="F21">
        <f t="shared" si="1"/>
        <v>0.07</v>
      </c>
      <c r="G21" s="18">
        <f t="shared" si="3"/>
        <v>0.35</v>
      </c>
      <c r="H21">
        <f t="shared" si="2"/>
        <v>0.14</v>
      </c>
    </row>
    <row r="22" spans="1:13">
      <c r="A22" s="19">
        <v>8009</v>
      </c>
      <c r="B22" s="20" t="s">
        <v>14</v>
      </c>
      <c r="C22" s="20">
        <v>2</v>
      </c>
      <c r="D22" s="20">
        <v>0.89</v>
      </c>
      <c r="E22" s="20">
        <v>0.65</v>
      </c>
      <c r="F22">
        <f t="shared" si="1"/>
        <v>0.24</v>
      </c>
      <c r="G22" s="18">
        <f t="shared" si="3"/>
        <v>0.269662921348315</v>
      </c>
      <c r="H22">
        <f t="shared" si="2"/>
        <v>0.48</v>
      </c>
    </row>
    <row r="23" spans="1:13">
      <c r="A23" s="19">
        <v>8010</v>
      </c>
      <c r="B23" s="20" t="s">
        <v>14</v>
      </c>
      <c r="C23" s="20">
        <v>2</v>
      </c>
      <c r="D23" s="20">
        <v>1.54</v>
      </c>
      <c r="E23" s="20">
        <v>0.8</v>
      </c>
      <c r="F23">
        <f t="shared" si="1"/>
        <v>0.74</v>
      </c>
      <c r="G23" s="18">
        <f t="shared" si="3"/>
        <v>0.480519480519481</v>
      </c>
      <c r="H23">
        <f t="shared" si="2"/>
        <v>1.48</v>
      </c>
    </row>
    <row r="24" spans="1:13">
      <c r="A24" s="19">
        <v>8010</v>
      </c>
      <c r="B24" s="20" t="s">
        <v>32</v>
      </c>
      <c r="C24" s="20">
        <v>2</v>
      </c>
      <c r="D24" s="20">
        <v>0.62</v>
      </c>
      <c r="E24" s="20">
        <v>0.27</v>
      </c>
      <c r="F24">
        <f t="shared" si="1"/>
        <v>0.35</v>
      </c>
      <c r="G24" s="18">
        <f t="shared" si="3"/>
        <v>0.564516129032258</v>
      </c>
      <c r="H24">
        <f t="shared" si="2"/>
        <v>0.7</v>
      </c>
    </row>
    <row r="25" spans="1:13">
      <c r="A25" s="19">
        <v>8011</v>
      </c>
      <c r="B25" s="20" t="s">
        <v>14</v>
      </c>
      <c r="C25" s="20">
        <v>2</v>
      </c>
      <c r="D25" s="20">
        <v>1.7</v>
      </c>
      <c r="E25" s="20">
        <v>0.89</v>
      </c>
      <c r="F25">
        <f t="shared" si="1"/>
        <v>0.81</v>
      </c>
      <c r="G25" s="18">
        <f t="shared" si="3"/>
        <v>0.476470588235294</v>
      </c>
      <c r="H25">
        <f t="shared" si="2"/>
        <v>1.62</v>
      </c>
    </row>
    <row r="26" spans="1:13">
      <c r="A26" s="19">
        <v>8011</v>
      </c>
      <c r="B26" s="20" t="s">
        <v>32</v>
      </c>
      <c r="C26" s="20">
        <v>2</v>
      </c>
      <c r="D26" s="20">
        <v>0.38</v>
      </c>
      <c r="E26" s="20">
        <v>0.19</v>
      </c>
      <c r="F26">
        <f t="shared" si="1"/>
        <v>0.19</v>
      </c>
      <c r="G26" s="18">
        <f t="shared" si="3"/>
        <v>0.5</v>
      </c>
      <c r="H26">
        <f t="shared" si="2"/>
        <v>0.38</v>
      </c>
    </row>
    <row r="27" spans="1:13">
      <c r="A27" s="19">
        <v>8012</v>
      </c>
      <c r="B27" s="20" t="s">
        <v>14</v>
      </c>
      <c r="C27" s="20">
        <v>2</v>
      </c>
      <c r="D27" s="20">
        <v>1.53</v>
      </c>
      <c r="E27" s="20">
        <v>0.89</v>
      </c>
      <c r="F27">
        <f t="shared" si="1"/>
        <v>0.64</v>
      </c>
      <c r="G27" s="18">
        <f t="shared" si="3"/>
        <v>0.418300653594771</v>
      </c>
      <c r="H27">
        <f t="shared" si="2"/>
        <v>1.28</v>
      </c>
    </row>
    <row r="28" spans="1:13">
      <c r="A28" s="19">
        <v>8012</v>
      </c>
      <c r="B28" s="20" t="s">
        <v>32</v>
      </c>
      <c r="C28" s="20">
        <v>2</v>
      </c>
      <c r="D28" s="20">
        <v>1.53</v>
      </c>
      <c r="E28" s="20">
        <v>0.79</v>
      </c>
      <c r="F28">
        <f t="shared" si="1"/>
        <v>0.74</v>
      </c>
      <c r="G28" s="18">
        <f t="shared" si="3"/>
        <v>0.483660130718954</v>
      </c>
      <c r="H28">
        <f t="shared" si="2"/>
        <v>1.48</v>
      </c>
      <c r="M28" s="20"/>
    </row>
    <row r="29" spans="1:13">
      <c r="A29" s="19">
        <v>8013</v>
      </c>
      <c r="B29" s="20" t="s">
        <v>14</v>
      </c>
      <c r="C29" s="20">
        <v>2</v>
      </c>
      <c r="D29" s="20">
        <v>1.75</v>
      </c>
      <c r="E29">
        <v>1.07</v>
      </c>
      <c r="F29">
        <f t="shared" si="1"/>
        <v>0.68</v>
      </c>
      <c r="G29" s="18">
        <f t="shared" si="3"/>
        <v>0.388571428571429</v>
      </c>
      <c r="H29">
        <f t="shared" si="2"/>
        <v>1.36</v>
      </c>
    </row>
    <row r="30" spans="1:13">
      <c r="A30" s="19">
        <v>8013</v>
      </c>
      <c r="B30" s="20" t="s">
        <v>32</v>
      </c>
      <c r="C30" s="20">
        <v>2</v>
      </c>
      <c r="D30" s="20">
        <v>1.2</v>
      </c>
      <c r="E30">
        <v>0.6</v>
      </c>
      <c r="F30">
        <f t="shared" si="1"/>
        <v>0.6</v>
      </c>
      <c r="G30" s="18">
        <f t="shared" si="3"/>
        <v>0.5</v>
      </c>
      <c r="H30">
        <f t="shared" si="2"/>
        <v>1.2</v>
      </c>
    </row>
    <row r="31" spans="1:13">
      <c r="A31" s="19">
        <v>8014</v>
      </c>
      <c r="B31" s="20" t="s">
        <v>14</v>
      </c>
      <c r="C31" s="20">
        <v>2</v>
      </c>
      <c r="D31" s="20">
        <v>1.91</v>
      </c>
      <c r="E31" s="20">
        <v>1.12</v>
      </c>
      <c r="F31">
        <f t="shared" ref="F31:F34" si="4">D31-E31</f>
        <v>0.79</v>
      </c>
      <c r="G31" s="18">
        <f t="shared" ref="G31:G34" si="5">F31/D31</f>
        <v>0.413612565445026</v>
      </c>
      <c r="H31">
        <f t="shared" ref="H31:H34" si="6">F31*C31</f>
        <v>1.58</v>
      </c>
    </row>
    <row r="32" spans="1:13">
      <c r="A32" s="19">
        <v>8014</v>
      </c>
      <c r="B32" s="20" t="s">
        <v>32</v>
      </c>
      <c r="C32" s="20">
        <v>2</v>
      </c>
      <c r="D32" s="20">
        <v>1.46</v>
      </c>
      <c r="E32" s="20">
        <v>0.82</v>
      </c>
      <c r="F32">
        <f t="shared" si="4"/>
        <v>0.64</v>
      </c>
      <c r="G32" s="18">
        <f t="shared" si="5"/>
        <v>0.438356164383562</v>
      </c>
      <c r="H32">
        <f t="shared" si="6"/>
        <v>1.28</v>
      </c>
    </row>
    <row r="33" spans="1:8">
      <c r="A33" s="19">
        <v>8015</v>
      </c>
      <c r="B33" s="20" t="s">
        <v>14</v>
      </c>
      <c r="C33" s="20">
        <v>2</v>
      </c>
      <c r="D33" s="20">
        <v>2.21</v>
      </c>
      <c r="E33" s="20">
        <v>1.3</v>
      </c>
      <c r="F33">
        <f t="shared" si="4"/>
        <v>0.91</v>
      </c>
      <c r="G33" s="18">
        <f t="shared" si="5"/>
        <v>0.411764705882353</v>
      </c>
      <c r="H33">
        <f t="shared" si="6"/>
        <v>1.82</v>
      </c>
    </row>
    <row r="34" spans="1:8">
      <c r="A34" s="19">
        <v>8015</v>
      </c>
      <c r="B34" s="20" t="s">
        <v>32</v>
      </c>
      <c r="C34" s="20">
        <v>2</v>
      </c>
      <c r="D34" s="20">
        <v>1.29</v>
      </c>
      <c r="E34" s="20">
        <v>0.72</v>
      </c>
      <c r="F34">
        <f t="shared" si="4"/>
        <v>0.57</v>
      </c>
      <c r="G34" s="18">
        <f t="shared" si="5"/>
        <v>0.441860465116279</v>
      </c>
      <c r="H34">
        <f t="shared" si="6"/>
        <v>1.14</v>
      </c>
    </row>
    <row r="35" spans="1:8">
      <c r="A35" s="19">
        <v>8016</v>
      </c>
      <c r="B35" s="20" t="s">
        <v>14</v>
      </c>
      <c r="C35" s="20">
        <v>2</v>
      </c>
      <c r="D35" s="20">
        <v>3.07</v>
      </c>
      <c r="E35">
        <v>2.02</v>
      </c>
      <c r="F35">
        <f t="shared" si="1"/>
        <v>1.05</v>
      </c>
      <c r="G35" s="18">
        <f t="shared" si="3"/>
        <v>0.342019543973941</v>
      </c>
      <c r="H35">
        <f t="shared" si="2"/>
        <v>2.1</v>
      </c>
    </row>
    <row r="36" spans="1:8">
      <c r="A36" s="19">
        <v>8016</v>
      </c>
      <c r="B36" s="20" t="s">
        <v>32</v>
      </c>
      <c r="C36" s="20">
        <v>2</v>
      </c>
      <c r="D36" s="20">
        <v>0.88</v>
      </c>
      <c r="E36">
        <v>0.41</v>
      </c>
      <c r="F36">
        <f t="shared" si="1"/>
        <v>0.47</v>
      </c>
      <c r="G36" s="18">
        <f t="shared" si="3"/>
        <v>0.534090909090909</v>
      </c>
      <c r="H36">
        <f t="shared" si="2"/>
        <v>0.94</v>
      </c>
    </row>
    <row r="37" spans="1:8">
      <c r="A37" s="19">
        <v>8018</v>
      </c>
      <c r="B37" s="20" t="s">
        <v>14</v>
      </c>
      <c r="C37" s="20">
        <v>2</v>
      </c>
      <c r="D37" s="20">
        <v>2.58</v>
      </c>
      <c r="E37">
        <v>1.85</v>
      </c>
      <c r="F37">
        <f t="shared" si="1"/>
        <v>0.73</v>
      </c>
      <c r="G37" s="18">
        <f t="shared" si="3"/>
        <v>0.282945736434109</v>
      </c>
      <c r="H37">
        <f t="shared" si="2"/>
        <v>1.46</v>
      </c>
    </row>
    <row r="38" spans="1:8">
      <c r="A38" s="19">
        <v>8019</v>
      </c>
      <c r="B38" s="20" t="s">
        <v>14</v>
      </c>
      <c r="C38" s="20">
        <v>2</v>
      </c>
      <c r="D38" s="20">
        <v>2.02</v>
      </c>
      <c r="E38">
        <v>1.11</v>
      </c>
      <c r="F38">
        <f t="shared" si="1"/>
        <v>0.91</v>
      </c>
      <c r="G38" s="18">
        <f t="shared" si="3"/>
        <v>0.45049504950495</v>
      </c>
      <c r="H38">
        <f t="shared" si="2"/>
        <v>1.82</v>
      </c>
    </row>
    <row r="39" spans="1:8">
      <c r="A39" s="19">
        <v>8019</v>
      </c>
      <c r="B39" s="20" t="s">
        <v>32</v>
      </c>
      <c r="C39" s="20">
        <v>2</v>
      </c>
      <c r="D39" s="20">
        <v>1.53</v>
      </c>
      <c r="E39">
        <v>0.49</v>
      </c>
      <c r="F39">
        <f t="shared" si="1"/>
        <v>1.04</v>
      </c>
      <c r="G39" s="18">
        <f t="shared" si="3"/>
        <v>0.679738562091503</v>
      </c>
      <c r="H39">
        <f t="shared" si="2"/>
        <v>2.08</v>
      </c>
    </row>
    <row r="40" spans="1:8">
      <c r="A40" s="19">
        <v>8019</v>
      </c>
      <c r="B40" s="20" t="s">
        <v>138</v>
      </c>
      <c r="C40" s="20">
        <v>2</v>
      </c>
      <c r="D40" s="20">
        <v>0.22</v>
      </c>
      <c r="E40">
        <v>0.14</v>
      </c>
      <c r="F40">
        <f t="shared" si="1"/>
        <v>0.08</v>
      </c>
      <c r="G40" s="18">
        <f t="shared" si="3"/>
        <v>0.363636363636364</v>
      </c>
      <c r="H40">
        <f t="shared" si="2"/>
        <v>0.16</v>
      </c>
    </row>
    <row r="41" spans="1:8">
      <c r="A41" s="19">
        <v>8023</v>
      </c>
      <c r="B41" s="20" t="s">
        <v>14</v>
      </c>
      <c r="C41" s="20">
        <v>2</v>
      </c>
      <c r="D41" s="20">
        <v>1.91</v>
      </c>
      <c r="E41" s="20">
        <v>1.12</v>
      </c>
      <c r="F41">
        <f t="shared" ref="F41:F42" si="7">D41-E41</f>
        <v>0.79</v>
      </c>
      <c r="G41" s="18">
        <f t="shared" ref="G41:G42" si="8">F41/D41</f>
        <v>0.413612565445026</v>
      </c>
      <c r="H41">
        <f t="shared" ref="H41:H42" si="9">F41*C41</f>
        <v>1.58</v>
      </c>
    </row>
    <row r="42" spans="1:8">
      <c r="A42" s="19">
        <v>8023</v>
      </c>
      <c r="B42" s="20" t="s">
        <v>32</v>
      </c>
      <c r="C42" s="20">
        <v>2</v>
      </c>
      <c r="D42" s="20">
        <v>1.46</v>
      </c>
      <c r="E42" s="20">
        <v>0.82</v>
      </c>
      <c r="F42">
        <f t="shared" si="7"/>
        <v>0.64</v>
      </c>
      <c r="G42" s="18">
        <f t="shared" si="8"/>
        <v>0.438356164383562</v>
      </c>
      <c r="H42">
        <f t="shared" si="9"/>
        <v>1.28</v>
      </c>
    </row>
    <row r="43" spans="1:8">
      <c r="A43" s="19">
        <v>802302</v>
      </c>
      <c r="B43" s="20" t="s">
        <v>14</v>
      </c>
      <c r="C43" s="20">
        <v>2</v>
      </c>
      <c r="D43" s="20">
        <v>1.91</v>
      </c>
      <c r="E43" s="20">
        <v>1.12</v>
      </c>
      <c r="F43">
        <f t="shared" ref="F43:F44" si="10">D43-E43</f>
        <v>0.79</v>
      </c>
      <c r="G43" s="18">
        <f t="shared" ref="G43:G44" si="11">F43/D43</f>
        <v>0.413612565445026</v>
      </c>
      <c r="H43">
        <f t="shared" ref="H43:H44" si="12">F43*C43</f>
        <v>1.58</v>
      </c>
    </row>
    <row r="44" spans="1:8">
      <c r="A44" s="19">
        <v>802302</v>
      </c>
      <c r="B44" s="20" t="s">
        <v>32</v>
      </c>
      <c r="C44" s="20">
        <v>2</v>
      </c>
      <c r="D44" s="20">
        <v>1.46</v>
      </c>
      <c r="E44" s="20">
        <v>0.82</v>
      </c>
      <c r="F44">
        <f t="shared" si="10"/>
        <v>0.64</v>
      </c>
      <c r="G44" s="18">
        <f t="shared" si="11"/>
        <v>0.438356164383562</v>
      </c>
      <c r="H44">
        <f t="shared" si="12"/>
        <v>1.28</v>
      </c>
    </row>
    <row r="45" spans="1:8">
      <c r="A45" s="19">
        <v>8024</v>
      </c>
      <c r="B45" s="20" t="s">
        <v>14</v>
      </c>
      <c r="C45" s="20">
        <v>2</v>
      </c>
      <c r="D45" s="20">
        <v>1.75</v>
      </c>
      <c r="E45">
        <v>1.07</v>
      </c>
      <c r="F45">
        <f t="shared" ref="F45:F48" si="13">D45-E45</f>
        <v>0.68</v>
      </c>
      <c r="G45" s="18">
        <f t="shared" ref="G45:G48" si="14">F45/D45</f>
        <v>0.388571428571429</v>
      </c>
      <c r="H45">
        <f t="shared" ref="H45:H46" si="15">F45*C45</f>
        <v>1.36</v>
      </c>
    </row>
    <row r="46" spans="1:8">
      <c r="A46" s="19">
        <v>8024</v>
      </c>
      <c r="B46" s="20" t="s">
        <v>32</v>
      </c>
      <c r="C46" s="20">
        <v>2</v>
      </c>
      <c r="D46" s="20">
        <v>1.2</v>
      </c>
      <c r="E46">
        <v>0.6</v>
      </c>
      <c r="F46">
        <f t="shared" si="13"/>
        <v>0.6</v>
      </c>
      <c r="G46" s="18">
        <f t="shared" si="14"/>
        <v>0.5</v>
      </c>
      <c r="H46">
        <f t="shared" si="15"/>
        <v>1.2</v>
      </c>
    </row>
    <row r="47" spans="1:8">
      <c r="A47" s="19">
        <v>8025</v>
      </c>
      <c r="B47" s="20" t="s">
        <v>14</v>
      </c>
      <c r="C47" s="20">
        <v>2</v>
      </c>
      <c r="D47" s="20">
        <v>1.63</v>
      </c>
      <c r="E47">
        <v>0.86</v>
      </c>
      <c r="F47">
        <f t="shared" si="13"/>
        <v>0.77</v>
      </c>
      <c r="G47" s="18">
        <f t="shared" si="14"/>
        <v>0.47239263803681</v>
      </c>
      <c r="H47">
        <f t="shared" si="2"/>
        <v>1.54</v>
      </c>
    </row>
    <row r="48" spans="1:8">
      <c r="A48" s="19">
        <v>8025</v>
      </c>
      <c r="B48" s="20" t="s">
        <v>32</v>
      </c>
      <c r="C48" s="20">
        <v>2</v>
      </c>
      <c r="D48" s="20">
        <v>0.52</v>
      </c>
      <c r="E48">
        <v>0.28</v>
      </c>
      <c r="F48">
        <f t="shared" si="13"/>
        <v>0.24</v>
      </c>
      <c r="G48" s="18">
        <f t="shared" si="14"/>
        <v>0.461538461538462</v>
      </c>
      <c r="H48">
        <f t="shared" si="2"/>
        <v>0.48</v>
      </c>
    </row>
    <row r="49" spans="1:8">
      <c r="A49" s="19">
        <v>8029</v>
      </c>
      <c r="B49" s="20" t="s">
        <v>14</v>
      </c>
      <c r="C49" s="20">
        <v>2</v>
      </c>
      <c r="D49" s="20">
        <v>2.15</v>
      </c>
      <c r="E49">
        <v>1.29</v>
      </c>
      <c r="F49">
        <f t="shared" si="1"/>
        <v>0.86</v>
      </c>
      <c r="G49" s="18">
        <f t="shared" si="3"/>
        <v>0.4</v>
      </c>
      <c r="H49">
        <f t="shared" si="2"/>
        <v>1.72</v>
      </c>
    </row>
    <row r="50" spans="1:8">
      <c r="A50" s="19">
        <v>8029</v>
      </c>
      <c r="B50" s="20" t="s">
        <v>32</v>
      </c>
      <c r="C50" s="20">
        <v>2</v>
      </c>
      <c r="D50" s="20">
        <v>2.15</v>
      </c>
      <c r="E50">
        <v>1.29</v>
      </c>
      <c r="F50">
        <f t="shared" si="1"/>
        <v>0.86</v>
      </c>
      <c r="G50" s="18">
        <f t="shared" si="3"/>
        <v>0.4</v>
      </c>
      <c r="H50">
        <f t="shared" si="2"/>
        <v>1.72</v>
      </c>
    </row>
    <row r="51" spans="1:8">
      <c r="A51" s="19">
        <v>8030</v>
      </c>
      <c r="B51" s="20" t="s">
        <v>14</v>
      </c>
      <c r="C51" s="20">
        <v>2</v>
      </c>
      <c r="D51" s="20">
        <v>1.95</v>
      </c>
      <c r="E51">
        <v>1.3</v>
      </c>
      <c r="F51">
        <f t="shared" si="1"/>
        <v>0.65</v>
      </c>
      <c r="G51" s="18">
        <f t="shared" si="3"/>
        <v>0.333333333333333</v>
      </c>
      <c r="H51">
        <f t="shared" si="2"/>
        <v>1.3</v>
      </c>
    </row>
    <row r="52" spans="1:8">
      <c r="A52" s="19">
        <v>8030</v>
      </c>
      <c r="B52" s="20" t="s">
        <v>32</v>
      </c>
      <c r="C52" s="20">
        <v>2</v>
      </c>
      <c r="D52" s="20">
        <v>1.95</v>
      </c>
      <c r="E52">
        <v>1.17</v>
      </c>
      <c r="F52">
        <f t="shared" si="1"/>
        <v>0.78</v>
      </c>
      <c r="G52" s="18">
        <f t="shared" si="3"/>
        <v>0.4</v>
      </c>
      <c r="H52">
        <f t="shared" si="2"/>
        <v>1.56</v>
      </c>
    </row>
    <row r="53" spans="1:8">
      <c r="A53" s="19">
        <v>8030</v>
      </c>
      <c r="B53" s="20" t="s">
        <v>91</v>
      </c>
      <c r="C53" s="20">
        <v>2</v>
      </c>
      <c r="D53" s="20"/>
      <c r="E53">
        <v>0.06</v>
      </c>
    </row>
    <row r="54" spans="1:8">
      <c r="A54" s="19">
        <v>8031</v>
      </c>
      <c r="B54" s="20" t="s">
        <v>14</v>
      </c>
      <c r="C54" s="20">
        <v>2</v>
      </c>
      <c r="D54" s="20">
        <v>2.1</v>
      </c>
      <c r="E54">
        <v>1.44</v>
      </c>
      <c r="F54">
        <f>D54-E54</f>
        <v>0.66</v>
      </c>
      <c r="G54" s="18">
        <f t="shared" si="3"/>
        <v>0.314285714285714</v>
      </c>
      <c r="H54">
        <f t="shared" ref="H54:H95" si="16">F54*C54</f>
        <v>1.32</v>
      </c>
    </row>
    <row r="55" spans="1:8">
      <c r="A55" s="19">
        <v>8031</v>
      </c>
      <c r="B55" s="20" t="s">
        <v>32</v>
      </c>
      <c r="C55" s="20">
        <v>2</v>
      </c>
      <c r="D55" s="20">
        <v>1.02</v>
      </c>
      <c r="E55">
        <v>0.57</v>
      </c>
      <c r="F55">
        <f>D55-E55</f>
        <v>0.45</v>
      </c>
      <c r="G55" s="18">
        <f t="shared" si="3"/>
        <v>0.441176470588235</v>
      </c>
      <c r="H55">
        <f t="shared" si="16"/>
        <v>0.9</v>
      </c>
    </row>
    <row r="56" spans="1:8">
      <c r="A56" s="19">
        <v>8031</v>
      </c>
      <c r="B56" s="20" t="s">
        <v>1000</v>
      </c>
      <c r="C56" s="20">
        <v>2</v>
      </c>
      <c r="D56" s="20">
        <v>0.453</v>
      </c>
      <c r="E56">
        <v>0.23</v>
      </c>
      <c r="F56">
        <f>D56-E56</f>
        <v>0.223</v>
      </c>
      <c r="G56" s="18">
        <f t="shared" si="3"/>
        <v>0.492273730684327</v>
      </c>
      <c r="H56">
        <f t="shared" si="16"/>
        <v>0.446</v>
      </c>
    </row>
    <row r="57" spans="1:8">
      <c r="A57" s="19">
        <v>8032</v>
      </c>
      <c r="B57" s="20" t="s">
        <v>14</v>
      </c>
      <c r="C57" s="20">
        <v>2</v>
      </c>
      <c r="D57" s="20">
        <v>1.54</v>
      </c>
      <c r="E57">
        <v>1.21</v>
      </c>
      <c r="F57">
        <f t="shared" si="1"/>
        <v>0.33</v>
      </c>
      <c r="G57" s="18">
        <f t="shared" si="3"/>
        <v>0.214285714285714</v>
      </c>
      <c r="H57">
        <f t="shared" si="16"/>
        <v>0.66</v>
      </c>
    </row>
    <row r="58" spans="1:8">
      <c r="A58" s="19">
        <v>8032</v>
      </c>
      <c r="B58" s="20" t="s">
        <v>32</v>
      </c>
      <c r="C58" s="20">
        <v>2</v>
      </c>
      <c r="D58" s="20">
        <v>1.54</v>
      </c>
      <c r="E58">
        <v>0.97</v>
      </c>
      <c r="F58">
        <f t="shared" si="1"/>
        <v>0.57</v>
      </c>
      <c r="G58" s="18">
        <f t="shared" si="3"/>
        <v>0.37012987012987</v>
      </c>
      <c r="H58">
        <f t="shared" si="16"/>
        <v>1.14</v>
      </c>
    </row>
    <row r="59" spans="1:8">
      <c r="A59" s="19">
        <v>8035</v>
      </c>
      <c r="B59" s="20" t="s">
        <v>14</v>
      </c>
      <c r="C59" s="20">
        <v>2</v>
      </c>
      <c r="D59" s="20">
        <v>3.09</v>
      </c>
      <c r="E59" s="22">
        <v>2.03</v>
      </c>
      <c r="F59" s="23">
        <f t="shared" si="1"/>
        <v>1.06</v>
      </c>
      <c r="G59" s="24">
        <f t="shared" si="3"/>
        <v>0.343042071197411</v>
      </c>
      <c r="H59" s="23">
        <f t="shared" si="16"/>
        <v>2.12</v>
      </c>
    </row>
    <row r="60" spans="1:8">
      <c r="A60" s="19">
        <v>8035</v>
      </c>
      <c r="B60" s="20" t="s">
        <v>32</v>
      </c>
      <c r="C60" s="20">
        <v>2</v>
      </c>
      <c r="D60" s="20">
        <v>0.13</v>
      </c>
      <c r="E60" s="22">
        <v>0</v>
      </c>
      <c r="F60" s="23">
        <f t="shared" si="1"/>
        <v>0.13</v>
      </c>
      <c r="G60" s="24">
        <f t="shared" si="3"/>
        <v>1</v>
      </c>
      <c r="H60" s="23">
        <f t="shared" si="16"/>
        <v>0.26</v>
      </c>
    </row>
    <row r="61" spans="1:8">
      <c r="A61" s="19">
        <v>8036</v>
      </c>
      <c r="B61" s="20" t="s">
        <v>14</v>
      </c>
      <c r="C61" s="20">
        <v>2</v>
      </c>
      <c r="D61" s="20">
        <v>2.04</v>
      </c>
      <c r="E61">
        <v>1.14</v>
      </c>
      <c r="F61">
        <f t="shared" si="1"/>
        <v>0.9</v>
      </c>
      <c r="G61" s="18">
        <f t="shared" si="3"/>
        <v>0.441176470588235</v>
      </c>
      <c r="H61">
        <f t="shared" si="16"/>
        <v>1.8</v>
      </c>
    </row>
    <row r="62" spans="1:8">
      <c r="A62" s="19">
        <v>8036</v>
      </c>
      <c r="B62" s="20" t="s">
        <v>32</v>
      </c>
      <c r="C62" s="20">
        <v>2</v>
      </c>
      <c r="D62" s="20">
        <v>2.04</v>
      </c>
      <c r="E62">
        <v>1.09</v>
      </c>
      <c r="F62">
        <f t="shared" si="1"/>
        <v>0.95</v>
      </c>
      <c r="G62" s="18">
        <f t="shared" si="3"/>
        <v>0.465686274509804</v>
      </c>
      <c r="H62">
        <f t="shared" si="16"/>
        <v>1.9</v>
      </c>
    </row>
    <row r="63" spans="1:8">
      <c r="A63" s="19">
        <v>8037</v>
      </c>
      <c r="B63" s="20" t="s">
        <v>14</v>
      </c>
      <c r="C63" s="20">
        <v>2</v>
      </c>
      <c r="D63" s="20">
        <v>1.75</v>
      </c>
      <c r="E63">
        <v>0.88</v>
      </c>
      <c r="F63">
        <f t="shared" si="1"/>
        <v>0.87</v>
      </c>
      <c r="G63" s="18">
        <f t="shared" si="3"/>
        <v>0.497142857142857</v>
      </c>
      <c r="H63">
        <f t="shared" si="16"/>
        <v>1.74</v>
      </c>
    </row>
    <row r="64" spans="1:8">
      <c r="A64" s="19">
        <v>8037</v>
      </c>
      <c r="B64" s="20" t="s">
        <v>32</v>
      </c>
      <c r="C64" s="20">
        <v>2</v>
      </c>
      <c r="D64" s="20">
        <v>1.75</v>
      </c>
      <c r="E64">
        <v>0.87</v>
      </c>
      <c r="F64">
        <f t="shared" si="1"/>
        <v>0.88</v>
      </c>
      <c r="G64" s="18">
        <f t="shared" si="3"/>
        <v>0.502857142857143</v>
      </c>
      <c r="H64">
        <f t="shared" si="16"/>
        <v>1.76</v>
      </c>
    </row>
    <row r="65" spans="1:8">
      <c r="A65" s="19">
        <v>8038</v>
      </c>
      <c r="B65" s="20" t="s">
        <v>14</v>
      </c>
      <c r="C65" s="20">
        <v>2</v>
      </c>
      <c r="D65" s="20">
        <v>3.97</v>
      </c>
      <c r="E65">
        <v>2.58</v>
      </c>
      <c r="F65">
        <f t="shared" si="1"/>
        <v>1.39</v>
      </c>
      <c r="G65" s="18">
        <f t="shared" si="3"/>
        <v>0.350125944584383</v>
      </c>
      <c r="H65">
        <f t="shared" si="16"/>
        <v>2.78</v>
      </c>
    </row>
    <row r="66" spans="1:8">
      <c r="A66" s="19">
        <v>8040</v>
      </c>
      <c r="B66" s="20" t="s">
        <v>14</v>
      </c>
      <c r="C66" s="20">
        <v>2</v>
      </c>
      <c r="D66" s="20">
        <v>4.6</v>
      </c>
      <c r="E66">
        <v>2.41</v>
      </c>
      <c r="F66">
        <f t="shared" si="1"/>
        <v>2.19</v>
      </c>
      <c r="G66" s="18">
        <f t="shared" si="3"/>
        <v>0.476086956521739</v>
      </c>
      <c r="H66">
        <f t="shared" si="16"/>
        <v>4.38</v>
      </c>
    </row>
    <row r="67" spans="1:8">
      <c r="A67" s="19">
        <v>8041</v>
      </c>
      <c r="B67" s="20" t="s">
        <v>14</v>
      </c>
      <c r="C67" s="20">
        <v>2</v>
      </c>
      <c r="D67" s="20">
        <v>4.91</v>
      </c>
      <c r="E67">
        <v>2.47</v>
      </c>
      <c r="F67">
        <f t="shared" si="1"/>
        <v>2.44</v>
      </c>
      <c r="G67" s="18">
        <f t="shared" si="3"/>
        <v>0.496945010183299</v>
      </c>
      <c r="H67">
        <f t="shared" si="16"/>
        <v>4.88</v>
      </c>
    </row>
    <row r="68" spans="1:8">
      <c r="A68" s="19">
        <v>8042</v>
      </c>
      <c r="B68" s="20" t="s">
        <v>14</v>
      </c>
      <c r="C68" s="20">
        <v>2</v>
      </c>
      <c r="D68" s="20">
        <v>1.75</v>
      </c>
      <c r="E68" s="20">
        <v>1.12</v>
      </c>
      <c r="F68">
        <f t="shared" si="1"/>
        <v>0.63</v>
      </c>
      <c r="G68" s="18">
        <f t="shared" si="3"/>
        <v>0.36</v>
      </c>
      <c r="H68">
        <f t="shared" si="16"/>
        <v>1.26</v>
      </c>
    </row>
    <row r="69" spans="1:8">
      <c r="A69" s="19">
        <v>8042</v>
      </c>
      <c r="B69" s="20" t="s">
        <v>32</v>
      </c>
      <c r="C69" s="20">
        <v>2</v>
      </c>
      <c r="D69" s="20">
        <v>1.75</v>
      </c>
      <c r="E69" s="20">
        <v>1.04</v>
      </c>
      <c r="F69">
        <f t="shared" si="1"/>
        <v>0.71</v>
      </c>
      <c r="G69" s="18">
        <f t="shared" si="3"/>
        <v>0.405714285714286</v>
      </c>
      <c r="H69">
        <f t="shared" si="16"/>
        <v>1.42</v>
      </c>
    </row>
    <row r="70" spans="1:8">
      <c r="A70" s="19">
        <v>8042</v>
      </c>
      <c r="B70" s="20" t="s">
        <v>160</v>
      </c>
      <c r="C70" s="20">
        <v>2</v>
      </c>
      <c r="D70" s="20">
        <v>0.68</v>
      </c>
      <c r="E70" s="20">
        <v>0.42</v>
      </c>
      <c r="F70">
        <f t="shared" si="1"/>
        <v>0.26</v>
      </c>
      <c r="G70" s="18">
        <f t="shared" si="3"/>
        <v>0.382352941176471</v>
      </c>
      <c r="H70">
        <f t="shared" si="16"/>
        <v>0.52</v>
      </c>
    </row>
    <row r="71" spans="1:8">
      <c r="A71" s="19">
        <v>8043</v>
      </c>
      <c r="B71" s="20" t="s">
        <v>14</v>
      </c>
      <c r="C71" s="20">
        <v>2</v>
      </c>
      <c r="D71" s="20">
        <v>2.18</v>
      </c>
      <c r="E71" s="20">
        <v>1.08</v>
      </c>
      <c r="F71">
        <f t="shared" si="1"/>
        <v>1.1</v>
      </c>
      <c r="G71" s="18">
        <f t="shared" si="3"/>
        <v>0.504587155963303</v>
      </c>
      <c r="H71">
        <f t="shared" si="16"/>
        <v>2.2</v>
      </c>
    </row>
    <row r="72" spans="1:8">
      <c r="A72" s="19">
        <v>8043</v>
      </c>
      <c r="B72" s="20" t="s">
        <v>32</v>
      </c>
      <c r="C72" s="20">
        <v>2</v>
      </c>
      <c r="D72" s="20">
        <v>0.55</v>
      </c>
      <c r="E72" s="20">
        <v>0.31</v>
      </c>
      <c r="F72">
        <f t="shared" si="1"/>
        <v>0.24</v>
      </c>
      <c r="G72" s="18">
        <f t="shared" si="3"/>
        <v>0.436363636363636</v>
      </c>
      <c r="H72">
        <f t="shared" si="16"/>
        <v>0.48</v>
      </c>
    </row>
    <row r="73" spans="1:8">
      <c r="A73" s="19">
        <v>8043</v>
      </c>
      <c r="B73" s="20" t="s">
        <v>1001</v>
      </c>
      <c r="C73" s="20">
        <v>2</v>
      </c>
      <c r="D73" s="20">
        <v>1.54</v>
      </c>
      <c r="E73" s="20">
        <v>1</v>
      </c>
      <c r="F73">
        <f t="shared" si="1"/>
        <v>0.54</v>
      </c>
      <c r="G73" s="18">
        <f t="shared" si="3"/>
        <v>0.350649350649351</v>
      </c>
      <c r="H73">
        <f t="shared" si="16"/>
        <v>1.08</v>
      </c>
    </row>
    <row r="74" spans="1:8">
      <c r="A74" s="19">
        <v>8043</v>
      </c>
      <c r="B74" s="20" t="s">
        <v>1002</v>
      </c>
      <c r="C74" s="20">
        <v>2</v>
      </c>
      <c r="D74" s="20">
        <v>0.97</v>
      </c>
      <c r="E74" s="20">
        <v>0.55</v>
      </c>
      <c r="F74">
        <f t="shared" si="1"/>
        <v>0.42</v>
      </c>
      <c r="G74" s="18">
        <f t="shared" si="3"/>
        <v>0.432989690721649</v>
      </c>
      <c r="H74">
        <f t="shared" si="16"/>
        <v>0.84</v>
      </c>
    </row>
    <row r="75" spans="1:8">
      <c r="A75" s="19">
        <v>8043</v>
      </c>
      <c r="B75" s="20" t="s">
        <v>1003</v>
      </c>
      <c r="C75" s="20">
        <v>2</v>
      </c>
      <c r="D75" s="20">
        <v>0.49</v>
      </c>
      <c r="E75" s="20">
        <v>0.27</v>
      </c>
      <c r="F75">
        <f t="shared" si="1"/>
        <v>0.22</v>
      </c>
      <c r="G75" s="18">
        <f t="shared" si="3"/>
        <v>0.448979591836735</v>
      </c>
      <c r="H75">
        <f t="shared" si="16"/>
        <v>0.44</v>
      </c>
    </row>
    <row r="76" spans="1:8">
      <c r="A76" s="19">
        <v>8044</v>
      </c>
      <c r="B76" s="20" t="s">
        <v>14</v>
      </c>
      <c r="C76" s="20">
        <v>2</v>
      </c>
      <c r="D76" s="20">
        <v>1.79</v>
      </c>
      <c r="E76">
        <v>0.88</v>
      </c>
      <c r="F76">
        <f t="shared" si="1"/>
        <v>0.91</v>
      </c>
      <c r="G76" s="18">
        <f t="shared" si="3"/>
        <v>0.508379888268156</v>
      </c>
      <c r="H76">
        <f t="shared" si="16"/>
        <v>1.82</v>
      </c>
    </row>
    <row r="77" spans="1:8">
      <c r="A77" s="19">
        <v>8044</v>
      </c>
      <c r="B77" s="20" t="s">
        <v>32</v>
      </c>
      <c r="C77" s="20">
        <v>2</v>
      </c>
      <c r="D77" s="20">
        <v>1.79</v>
      </c>
      <c r="E77">
        <v>0.88</v>
      </c>
      <c r="F77">
        <f t="shared" si="1"/>
        <v>0.91</v>
      </c>
      <c r="G77" s="18">
        <f t="shared" si="3"/>
        <v>0.508379888268156</v>
      </c>
      <c r="H77">
        <f t="shared" si="16"/>
        <v>1.82</v>
      </c>
    </row>
    <row r="78" spans="1:8">
      <c r="A78" s="19">
        <v>8045</v>
      </c>
      <c r="B78" s="20" t="s">
        <v>14</v>
      </c>
      <c r="C78" s="20">
        <v>2</v>
      </c>
      <c r="D78" s="20">
        <v>3.6</v>
      </c>
      <c r="E78">
        <v>1.96</v>
      </c>
      <c r="F78">
        <f t="shared" si="1"/>
        <v>1.64</v>
      </c>
      <c r="G78" s="18">
        <f t="shared" si="3"/>
        <v>0.455555555555556</v>
      </c>
      <c r="H78">
        <f t="shared" si="16"/>
        <v>3.28</v>
      </c>
    </row>
    <row r="79" spans="1:8">
      <c r="A79" s="19">
        <v>8045</v>
      </c>
      <c r="B79" s="20" t="s">
        <v>32</v>
      </c>
      <c r="C79" s="20">
        <v>2</v>
      </c>
      <c r="D79" s="20">
        <v>0.51</v>
      </c>
      <c r="E79">
        <v>0.22</v>
      </c>
      <c r="F79">
        <f t="shared" si="1"/>
        <v>0.29</v>
      </c>
      <c r="G79" s="18">
        <f t="shared" si="3"/>
        <v>0.568627450980392</v>
      </c>
      <c r="H79">
        <f t="shared" si="16"/>
        <v>0.58</v>
      </c>
    </row>
    <row r="80" spans="1:8">
      <c r="A80" s="19">
        <v>8046</v>
      </c>
      <c r="B80" s="20" t="s">
        <v>14</v>
      </c>
      <c r="C80" s="20">
        <v>2</v>
      </c>
      <c r="D80" s="20">
        <v>2.36</v>
      </c>
      <c r="E80">
        <v>1.08</v>
      </c>
      <c r="F80">
        <f t="shared" si="1"/>
        <v>1.28</v>
      </c>
      <c r="G80" s="18">
        <f t="shared" si="3"/>
        <v>0.542372881355932</v>
      </c>
      <c r="H80">
        <f t="shared" si="16"/>
        <v>2.56</v>
      </c>
    </row>
    <row r="81" spans="1:12">
      <c r="A81" s="19">
        <v>8046</v>
      </c>
      <c r="B81" s="20" t="s">
        <v>1001</v>
      </c>
      <c r="C81" s="20">
        <v>2</v>
      </c>
      <c r="D81" s="20">
        <v>0.79</v>
      </c>
      <c r="E81">
        <v>0.55</v>
      </c>
      <c r="F81">
        <f t="shared" si="1"/>
        <v>0.24</v>
      </c>
      <c r="G81" s="18">
        <f t="shared" si="3"/>
        <v>0.30379746835443</v>
      </c>
      <c r="H81">
        <f t="shared" si="16"/>
        <v>0.48</v>
      </c>
    </row>
    <row r="82" spans="1:12">
      <c r="A82" s="19">
        <v>8046</v>
      </c>
      <c r="B82" s="20" t="s">
        <v>1002</v>
      </c>
      <c r="C82" s="20">
        <v>2</v>
      </c>
      <c r="D82" s="20">
        <v>0.9</v>
      </c>
      <c r="E82">
        <v>0.47</v>
      </c>
      <c r="F82">
        <f t="shared" si="1"/>
        <v>0.43</v>
      </c>
      <c r="G82" s="18">
        <f t="shared" si="3"/>
        <v>0.477777777777778</v>
      </c>
      <c r="H82">
        <f t="shared" si="16"/>
        <v>0.86</v>
      </c>
    </row>
    <row r="83" spans="1:12">
      <c r="A83" s="19">
        <v>8046</v>
      </c>
      <c r="B83" s="20" t="s">
        <v>1003</v>
      </c>
      <c r="C83" s="20">
        <v>2</v>
      </c>
      <c r="D83" s="20">
        <v>0.62</v>
      </c>
      <c r="E83">
        <v>0.35</v>
      </c>
      <c r="F83">
        <f t="shared" si="1"/>
        <v>0.27</v>
      </c>
      <c r="G83" s="18">
        <f t="shared" si="3"/>
        <v>0.435483870967742</v>
      </c>
      <c r="H83">
        <f t="shared" si="16"/>
        <v>0.54</v>
      </c>
    </row>
    <row r="84" spans="1:12">
      <c r="A84" s="19">
        <v>8047</v>
      </c>
      <c r="B84" s="20" t="s">
        <v>14</v>
      </c>
      <c r="C84" s="20">
        <v>2</v>
      </c>
      <c r="D84" s="20">
        <v>2.04</v>
      </c>
      <c r="E84">
        <v>1.15</v>
      </c>
      <c r="F84">
        <f t="shared" si="1"/>
        <v>0.89</v>
      </c>
      <c r="G84" s="18">
        <f t="shared" si="3"/>
        <v>0.436274509803922</v>
      </c>
      <c r="H84">
        <f t="shared" si="16"/>
        <v>1.78</v>
      </c>
    </row>
    <row r="85" spans="1:12">
      <c r="A85" s="19">
        <v>8047</v>
      </c>
      <c r="B85" s="20" t="s">
        <v>32</v>
      </c>
      <c r="C85" s="20">
        <v>2</v>
      </c>
      <c r="D85" s="20">
        <v>2.04</v>
      </c>
      <c r="E85">
        <v>0.97</v>
      </c>
      <c r="F85">
        <f t="shared" si="1"/>
        <v>1.07</v>
      </c>
      <c r="G85" s="18">
        <f t="shared" si="3"/>
        <v>0.524509803921569</v>
      </c>
      <c r="H85">
        <f t="shared" si="16"/>
        <v>2.14</v>
      </c>
    </row>
    <row r="86" spans="1:12">
      <c r="A86" s="19">
        <v>8048</v>
      </c>
      <c r="B86" s="20" t="s">
        <v>14</v>
      </c>
      <c r="C86" s="20">
        <v>2</v>
      </c>
      <c r="D86" s="20">
        <v>3.06</v>
      </c>
      <c r="E86">
        <v>1.74</v>
      </c>
      <c r="F86">
        <f t="shared" si="1"/>
        <v>1.32</v>
      </c>
      <c r="G86" s="18">
        <f t="shared" si="3"/>
        <v>0.431372549019608</v>
      </c>
      <c r="H86">
        <f t="shared" si="16"/>
        <v>2.64</v>
      </c>
    </row>
    <row r="87" spans="1:12">
      <c r="A87" s="19">
        <v>8048</v>
      </c>
      <c r="B87" s="20" t="s">
        <v>32</v>
      </c>
      <c r="C87" s="20">
        <v>2</v>
      </c>
      <c r="D87" s="20">
        <v>3.06</v>
      </c>
      <c r="E87">
        <v>1.54</v>
      </c>
      <c r="F87">
        <f t="shared" si="1"/>
        <v>1.52</v>
      </c>
      <c r="G87" s="18">
        <f t="shared" si="3"/>
        <v>0.496732026143791</v>
      </c>
      <c r="H87">
        <f t="shared" si="16"/>
        <v>3.04</v>
      </c>
    </row>
    <row r="88" spans="1:12">
      <c r="A88" s="19">
        <v>8049</v>
      </c>
      <c r="B88" s="20" t="s">
        <v>14</v>
      </c>
      <c r="C88" s="20">
        <v>2</v>
      </c>
      <c r="D88" s="20">
        <v>2.04</v>
      </c>
      <c r="E88">
        <v>0.85</v>
      </c>
      <c r="F88">
        <f t="shared" si="1"/>
        <v>1.19</v>
      </c>
      <c r="G88" s="18">
        <f t="shared" si="3"/>
        <v>0.583333333333333</v>
      </c>
      <c r="H88">
        <f t="shared" si="16"/>
        <v>2.38</v>
      </c>
    </row>
    <row r="89" spans="1:12">
      <c r="A89" s="19">
        <v>8050</v>
      </c>
      <c r="B89" s="20" t="s">
        <v>14</v>
      </c>
      <c r="C89" s="20">
        <v>2</v>
      </c>
      <c r="D89" s="20">
        <v>2.95</v>
      </c>
      <c r="E89">
        <v>1.6</v>
      </c>
      <c r="F89">
        <f t="shared" si="1"/>
        <v>1.35</v>
      </c>
      <c r="G89" s="18">
        <f t="shared" si="3"/>
        <v>0.457627118644068</v>
      </c>
      <c r="H89">
        <f t="shared" si="16"/>
        <v>2.7</v>
      </c>
      <c r="L89" s="20" t="s">
        <v>1004</v>
      </c>
    </row>
    <row r="90" spans="1:12">
      <c r="A90" s="19">
        <v>8050</v>
      </c>
      <c r="B90" s="20" t="s">
        <v>32</v>
      </c>
      <c r="C90" s="20">
        <v>2</v>
      </c>
      <c r="D90" s="20">
        <v>1.75</v>
      </c>
      <c r="E90">
        <v>0.97</v>
      </c>
      <c r="F90">
        <f t="shared" si="1"/>
        <v>0.78</v>
      </c>
      <c r="G90" s="18">
        <f t="shared" si="3"/>
        <v>0.445714285714286</v>
      </c>
      <c r="H90">
        <f t="shared" si="16"/>
        <v>1.56</v>
      </c>
    </row>
    <row r="91" spans="1:12">
      <c r="A91" s="19">
        <v>8053</v>
      </c>
      <c r="B91" s="20" t="s">
        <v>14</v>
      </c>
      <c r="C91" s="20">
        <v>2</v>
      </c>
      <c r="D91" s="20">
        <v>2.22</v>
      </c>
      <c r="E91">
        <v>1.13</v>
      </c>
      <c r="F91">
        <f t="shared" si="1"/>
        <v>1.09</v>
      </c>
      <c r="G91" s="18">
        <f t="shared" si="3"/>
        <v>0.490990990990991</v>
      </c>
      <c r="H91">
        <f t="shared" si="16"/>
        <v>2.18</v>
      </c>
    </row>
    <row r="92" spans="1:12">
      <c r="A92" s="19">
        <v>8053</v>
      </c>
      <c r="B92" s="20" t="s">
        <v>32</v>
      </c>
      <c r="C92" s="20">
        <v>2</v>
      </c>
      <c r="D92" s="20">
        <v>2.22</v>
      </c>
      <c r="E92">
        <v>1.13</v>
      </c>
      <c r="F92">
        <f t="shared" si="1"/>
        <v>1.09</v>
      </c>
      <c r="G92" s="18">
        <f t="shared" si="3"/>
        <v>0.490990990990991</v>
      </c>
      <c r="H92">
        <f t="shared" si="16"/>
        <v>2.18</v>
      </c>
    </row>
    <row r="93" spans="1:12">
      <c r="A93" s="19">
        <v>8054</v>
      </c>
      <c r="B93" s="20" t="s">
        <v>14</v>
      </c>
      <c r="C93" s="20">
        <v>2</v>
      </c>
      <c r="D93" s="20">
        <v>2.87</v>
      </c>
      <c r="E93">
        <v>1.68</v>
      </c>
      <c r="F93">
        <f t="shared" si="1"/>
        <v>1.19</v>
      </c>
      <c r="G93" s="18">
        <f t="shared" si="3"/>
        <v>0.414634146341463</v>
      </c>
      <c r="H93">
        <f t="shared" si="16"/>
        <v>2.38</v>
      </c>
    </row>
    <row r="94" spans="1:12">
      <c r="A94" s="19">
        <v>8054</v>
      </c>
      <c r="B94" s="20" t="s">
        <v>32</v>
      </c>
      <c r="C94" s="20">
        <v>2</v>
      </c>
      <c r="D94" s="20">
        <v>2.39</v>
      </c>
      <c r="E94">
        <v>1.19</v>
      </c>
      <c r="F94">
        <f>D94-E94</f>
        <v>1.2</v>
      </c>
      <c r="G94" s="18">
        <f t="shared" si="3"/>
        <v>0.502092050209205</v>
      </c>
      <c r="H94">
        <f t="shared" si="16"/>
        <v>2.4</v>
      </c>
    </row>
    <row r="95" spans="1:12">
      <c r="A95" s="19">
        <v>8054</v>
      </c>
      <c r="B95" s="20" t="s">
        <v>1005</v>
      </c>
      <c r="C95" s="20">
        <v>2</v>
      </c>
      <c r="D95" s="20">
        <v>0.23</v>
      </c>
      <c r="E95">
        <v>0.17</v>
      </c>
      <c r="F95">
        <f>D95-E95</f>
        <v>0.06</v>
      </c>
      <c r="G95" s="18">
        <f>F95/D95</f>
        <v>0.260869565217391</v>
      </c>
      <c r="H95">
        <f t="shared" si="16"/>
        <v>0.12</v>
      </c>
    </row>
    <row r="96" spans="1:12">
      <c r="A96" s="19">
        <v>8054</v>
      </c>
      <c r="B96" s="20" t="s">
        <v>1006</v>
      </c>
      <c r="C96" s="20"/>
      <c r="D96" s="20"/>
      <c r="E96">
        <v>0.04</v>
      </c>
    </row>
    <row r="97" spans="1:8">
      <c r="A97" s="19">
        <v>8057</v>
      </c>
      <c r="B97" s="20" t="s">
        <v>14</v>
      </c>
      <c r="C97" s="20">
        <v>2</v>
      </c>
      <c r="D97" s="20">
        <v>2.19</v>
      </c>
      <c r="E97">
        <v>0.95</v>
      </c>
      <c r="F97">
        <f t="shared" si="1"/>
        <v>1.24</v>
      </c>
      <c r="G97" s="18">
        <f t="shared" si="3"/>
        <v>0.5662100456621</v>
      </c>
      <c r="H97">
        <f t="shared" ref="H97:H104" si="17">F97*C97</f>
        <v>2.48</v>
      </c>
    </row>
    <row r="98" spans="1:8">
      <c r="A98" s="19">
        <v>8057</v>
      </c>
      <c r="B98" s="20" t="s">
        <v>32</v>
      </c>
      <c r="C98" s="20">
        <v>2</v>
      </c>
      <c r="D98" s="20">
        <v>2.19</v>
      </c>
      <c r="E98">
        <v>0.9</v>
      </c>
      <c r="F98">
        <f t="shared" si="1"/>
        <v>1.29</v>
      </c>
      <c r="G98" s="18">
        <f t="shared" si="3"/>
        <v>0.589041095890411</v>
      </c>
      <c r="H98">
        <f t="shared" si="17"/>
        <v>2.58</v>
      </c>
    </row>
    <row r="99" spans="1:8">
      <c r="A99" s="19">
        <v>8058</v>
      </c>
      <c r="B99" s="20" t="s">
        <v>14</v>
      </c>
      <c r="C99" s="20">
        <v>2</v>
      </c>
      <c r="D99" s="20">
        <v>4.08</v>
      </c>
      <c r="E99">
        <v>2.46</v>
      </c>
      <c r="F99">
        <f>D99-E99</f>
        <v>1.62</v>
      </c>
      <c r="G99" s="18">
        <f>F99/D99</f>
        <v>0.397058823529412</v>
      </c>
      <c r="H99">
        <f t="shared" si="17"/>
        <v>3.24</v>
      </c>
    </row>
    <row r="100" spans="1:8">
      <c r="A100" s="19">
        <v>8059</v>
      </c>
      <c r="B100" s="20" t="s">
        <v>14</v>
      </c>
      <c r="C100" s="20">
        <v>2</v>
      </c>
      <c r="D100" s="20">
        <v>2.25</v>
      </c>
      <c r="E100">
        <v>1.37</v>
      </c>
      <c r="F100">
        <f t="shared" si="1"/>
        <v>0.88</v>
      </c>
      <c r="G100" s="18">
        <f t="shared" si="3"/>
        <v>0.391111111111111</v>
      </c>
      <c r="H100">
        <f t="shared" si="17"/>
        <v>1.76</v>
      </c>
    </row>
    <row r="101" spans="1:8">
      <c r="A101" s="19">
        <v>8059</v>
      </c>
      <c r="B101" s="20" t="s">
        <v>32</v>
      </c>
      <c r="C101" s="20">
        <v>2</v>
      </c>
      <c r="D101" s="20">
        <v>2.16</v>
      </c>
      <c r="E101">
        <v>1.25</v>
      </c>
      <c r="F101">
        <f t="shared" si="1"/>
        <v>0.91</v>
      </c>
      <c r="G101" s="18">
        <f t="shared" si="3"/>
        <v>0.421296296296296</v>
      </c>
      <c r="H101">
        <f t="shared" si="17"/>
        <v>1.82</v>
      </c>
    </row>
    <row r="102" spans="1:8">
      <c r="A102" s="19">
        <v>8060</v>
      </c>
      <c r="B102" s="20" t="s">
        <v>14</v>
      </c>
      <c r="C102" s="20">
        <v>2</v>
      </c>
      <c r="D102" s="20">
        <v>4.08</v>
      </c>
      <c r="E102">
        <v>2.48</v>
      </c>
      <c r="F102">
        <f t="shared" si="1"/>
        <v>1.6</v>
      </c>
      <c r="G102" s="18">
        <f t="shared" si="3"/>
        <v>0.392156862745098</v>
      </c>
      <c r="H102">
        <f t="shared" si="17"/>
        <v>3.2</v>
      </c>
    </row>
    <row r="103" spans="1:8">
      <c r="A103" s="19">
        <v>8061</v>
      </c>
      <c r="B103" s="20" t="s">
        <v>14</v>
      </c>
      <c r="C103" s="20">
        <v>2</v>
      </c>
      <c r="D103" s="20">
        <v>2.55</v>
      </c>
      <c r="E103">
        <v>1.3</v>
      </c>
      <c r="F103">
        <f t="shared" si="1"/>
        <v>1.25</v>
      </c>
      <c r="G103" s="18">
        <f t="shared" si="3"/>
        <v>0.490196078431372</v>
      </c>
      <c r="H103">
        <f t="shared" si="17"/>
        <v>2.5</v>
      </c>
    </row>
    <row r="104" spans="1:8">
      <c r="A104" s="19">
        <v>8061</v>
      </c>
      <c r="B104" s="20" t="s">
        <v>32</v>
      </c>
      <c r="C104" s="20">
        <v>2</v>
      </c>
      <c r="D104" s="20">
        <v>2.55</v>
      </c>
      <c r="E104">
        <v>1.14</v>
      </c>
      <c r="F104">
        <f t="shared" si="1"/>
        <v>1.41</v>
      </c>
      <c r="G104" s="18">
        <f t="shared" si="3"/>
        <v>0.552941176470588</v>
      </c>
      <c r="H104">
        <f t="shared" si="17"/>
        <v>2.82</v>
      </c>
    </row>
    <row r="105" spans="1:8">
      <c r="A105" s="19">
        <v>8061</v>
      </c>
      <c r="B105" s="20" t="s">
        <v>160</v>
      </c>
      <c r="C105" s="20"/>
      <c r="D105" s="20"/>
    </row>
    <row r="106" spans="1:8">
      <c r="A106" s="19">
        <v>8062</v>
      </c>
      <c r="B106" s="20" t="s">
        <v>14</v>
      </c>
      <c r="C106" s="20">
        <v>2</v>
      </c>
      <c r="D106" s="20">
        <v>2.63</v>
      </c>
      <c r="E106">
        <v>1.62</v>
      </c>
      <c r="F106">
        <f t="shared" si="1"/>
        <v>1.01</v>
      </c>
      <c r="G106" s="18">
        <f t="shared" si="3"/>
        <v>0.384030418250951</v>
      </c>
      <c r="H106">
        <f>F106*C106</f>
        <v>2.02</v>
      </c>
    </row>
    <row r="107" spans="1:8">
      <c r="A107" s="19">
        <v>8062</v>
      </c>
      <c r="B107" s="20" t="s">
        <v>32</v>
      </c>
      <c r="C107" s="20">
        <v>2</v>
      </c>
      <c r="D107" s="20">
        <v>1.7</v>
      </c>
      <c r="E107">
        <v>0.77</v>
      </c>
      <c r="F107">
        <f t="shared" si="1"/>
        <v>0.93</v>
      </c>
      <c r="G107" s="18">
        <f t="shared" si="3"/>
        <v>0.547058823529412</v>
      </c>
      <c r="H107">
        <f>F107*C107</f>
        <v>1.86</v>
      </c>
    </row>
    <row r="108" spans="1:8">
      <c r="A108" s="19">
        <v>8062</v>
      </c>
      <c r="B108" s="20" t="s">
        <v>303</v>
      </c>
      <c r="C108" s="20">
        <v>2</v>
      </c>
      <c r="D108" s="20">
        <v>0.4</v>
      </c>
      <c r="E108">
        <v>0.25</v>
      </c>
      <c r="F108">
        <f t="shared" si="1"/>
        <v>0.15</v>
      </c>
      <c r="G108" s="18">
        <f t="shared" si="3"/>
        <v>0.375</v>
      </c>
      <c r="H108">
        <f>F108*C108</f>
        <v>0.3</v>
      </c>
    </row>
    <row r="109" spans="1:8">
      <c r="A109" s="19">
        <v>8062</v>
      </c>
      <c r="B109" s="20" t="s">
        <v>91</v>
      </c>
      <c r="C109" s="20"/>
      <c r="D109" s="20">
        <v>0.24</v>
      </c>
    </row>
    <row r="110" spans="1:8">
      <c r="A110" s="19">
        <v>8063</v>
      </c>
      <c r="B110" s="20" t="s">
        <v>14</v>
      </c>
      <c r="C110" s="20">
        <v>2</v>
      </c>
      <c r="D110" s="20">
        <v>2.95</v>
      </c>
      <c r="E110">
        <v>1.48</v>
      </c>
      <c r="F110">
        <f t="shared" si="1"/>
        <v>1.47</v>
      </c>
      <c r="G110" s="18">
        <f t="shared" si="3"/>
        <v>0.498305084745763</v>
      </c>
      <c r="H110">
        <f t="shared" ref="H110:H130" si="18">F110*C110</f>
        <v>2.94</v>
      </c>
    </row>
    <row r="111" spans="1:8">
      <c r="A111" s="19">
        <v>8063</v>
      </c>
      <c r="B111" s="20" t="s">
        <v>32</v>
      </c>
      <c r="C111" s="20">
        <v>2</v>
      </c>
      <c r="D111" s="20">
        <v>0.81</v>
      </c>
      <c r="E111">
        <v>0.36</v>
      </c>
      <c r="F111">
        <f t="shared" si="1"/>
        <v>0.45</v>
      </c>
      <c r="G111" s="18">
        <f t="shared" si="3"/>
        <v>0.555555555555556</v>
      </c>
      <c r="H111">
        <f t="shared" si="18"/>
        <v>0.9</v>
      </c>
    </row>
    <row r="112" spans="1:8">
      <c r="A112" s="19">
        <v>8063</v>
      </c>
      <c r="B112" s="20" t="s">
        <v>303</v>
      </c>
      <c r="C112" s="20">
        <v>2</v>
      </c>
      <c r="D112" s="20"/>
      <c r="E112">
        <v>0.1</v>
      </c>
      <c r="H112">
        <f t="shared" si="18"/>
        <v>0</v>
      </c>
    </row>
    <row r="113" spans="1:11">
      <c r="A113" s="19">
        <v>8064</v>
      </c>
      <c r="B113" s="20" t="s">
        <v>14</v>
      </c>
      <c r="C113" s="20">
        <v>2</v>
      </c>
      <c r="D113" s="20">
        <v>1.25</v>
      </c>
      <c r="E113">
        <v>0.85</v>
      </c>
      <c r="F113">
        <f t="shared" si="1"/>
        <v>0.4</v>
      </c>
      <c r="G113" s="18">
        <f t="shared" si="3"/>
        <v>0.32</v>
      </c>
      <c r="H113">
        <f t="shared" si="18"/>
        <v>0.8</v>
      </c>
    </row>
    <row r="114" spans="1:11">
      <c r="A114" s="19">
        <v>8064</v>
      </c>
      <c r="B114" s="20" t="s">
        <v>32</v>
      </c>
      <c r="C114" s="20">
        <v>2</v>
      </c>
      <c r="D114" s="20">
        <v>0.23</v>
      </c>
      <c r="E114">
        <v>0.15</v>
      </c>
      <c r="F114">
        <f t="shared" si="1"/>
        <v>0.08</v>
      </c>
      <c r="G114" s="18">
        <f t="shared" si="3"/>
        <v>0.347826086956522</v>
      </c>
      <c r="H114">
        <f t="shared" si="18"/>
        <v>0.16</v>
      </c>
    </row>
    <row r="115" spans="1:11">
      <c r="A115" s="19">
        <v>8070</v>
      </c>
      <c r="B115" s="20" t="s">
        <v>14</v>
      </c>
      <c r="C115" s="20">
        <v>2</v>
      </c>
      <c r="D115" s="20">
        <v>2.86</v>
      </c>
      <c r="E115">
        <v>1.56</v>
      </c>
      <c r="F115">
        <f t="shared" si="1"/>
        <v>1.3</v>
      </c>
      <c r="G115" s="18">
        <f t="shared" si="3"/>
        <v>0.454545454545455</v>
      </c>
      <c r="H115">
        <f t="shared" si="18"/>
        <v>2.6</v>
      </c>
    </row>
    <row r="116" spans="1:11">
      <c r="A116" s="19">
        <v>8071</v>
      </c>
      <c r="B116" s="20" t="s">
        <v>14</v>
      </c>
      <c r="C116" s="20">
        <v>2</v>
      </c>
      <c r="D116" s="20">
        <v>3.43</v>
      </c>
      <c r="E116">
        <v>1.91</v>
      </c>
      <c r="F116">
        <f t="shared" si="1"/>
        <v>1.52</v>
      </c>
      <c r="G116" s="18">
        <f t="shared" si="3"/>
        <v>0.443148688046647</v>
      </c>
      <c r="H116">
        <f t="shared" si="18"/>
        <v>3.04</v>
      </c>
    </row>
    <row r="117" spans="1:11">
      <c r="A117" s="19">
        <v>8071</v>
      </c>
      <c r="B117" s="20" t="s">
        <v>32</v>
      </c>
      <c r="C117" s="20">
        <v>2</v>
      </c>
      <c r="D117" s="20">
        <v>0.12</v>
      </c>
      <c r="E117">
        <v>0.04</v>
      </c>
      <c r="F117">
        <f t="shared" si="1"/>
        <v>0.08</v>
      </c>
      <c r="G117" s="18">
        <f t="shared" si="3"/>
        <v>0.666666666666667</v>
      </c>
      <c r="H117">
        <f t="shared" si="18"/>
        <v>0.16</v>
      </c>
    </row>
    <row r="118" spans="1:11">
      <c r="A118" s="19">
        <v>8072</v>
      </c>
      <c r="B118" s="20" t="s">
        <v>14</v>
      </c>
      <c r="C118" s="20">
        <v>2</v>
      </c>
      <c r="D118" s="20">
        <v>3.09</v>
      </c>
      <c r="E118">
        <v>1.815</v>
      </c>
      <c r="F118">
        <f t="shared" si="1"/>
        <v>1.275</v>
      </c>
      <c r="G118" s="18">
        <f t="shared" si="3"/>
        <v>0.412621359223301</v>
      </c>
      <c r="H118">
        <f t="shared" si="18"/>
        <v>2.55</v>
      </c>
      <c r="J118">
        <v>13.91</v>
      </c>
      <c r="K118">
        <f>J118-H118</f>
        <v>11.36</v>
      </c>
    </row>
    <row r="119" spans="1:11">
      <c r="A119" s="19"/>
      <c r="B119" s="20" t="s">
        <v>14</v>
      </c>
      <c r="C119" s="20">
        <v>2</v>
      </c>
      <c r="D119" s="20">
        <v>2.62</v>
      </c>
      <c r="E119">
        <v>1.815</v>
      </c>
      <c r="F119">
        <f t="shared" si="1"/>
        <v>0.805</v>
      </c>
      <c r="G119" s="18">
        <f t="shared" si="3"/>
        <v>0.307251908396947</v>
      </c>
      <c r="H119">
        <f t="shared" si="18"/>
        <v>1.61</v>
      </c>
      <c r="J119">
        <v>11.8</v>
      </c>
      <c r="K119">
        <f>J119-H119</f>
        <v>10.19</v>
      </c>
    </row>
    <row r="120" spans="1:11">
      <c r="A120" s="19">
        <v>8073</v>
      </c>
      <c r="B120" s="20" t="s">
        <v>14</v>
      </c>
      <c r="C120" s="20">
        <v>2</v>
      </c>
      <c r="D120" s="20">
        <v>2.56</v>
      </c>
      <c r="E120">
        <v>1.41</v>
      </c>
      <c r="F120">
        <f t="shared" si="1"/>
        <v>1.15</v>
      </c>
      <c r="G120" s="18">
        <f t="shared" si="3"/>
        <v>0.44921875</v>
      </c>
      <c r="H120">
        <f t="shared" si="18"/>
        <v>2.3</v>
      </c>
    </row>
    <row r="121" spans="1:11">
      <c r="A121" s="19">
        <v>8073</v>
      </c>
      <c r="B121" s="20" t="s">
        <v>32</v>
      </c>
      <c r="C121" s="20">
        <v>2</v>
      </c>
      <c r="D121" s="20">
        <v>1.75</v>
      </c>
      <c r="E121">
        <v>1</v>
      </c>
      <c r="F121">
        <f t="shared" si="1"/>
        <v>0.75</v>
      </c>
      <c r="G121" s="18">
        <f t="shared" si="3"/>
        <v>0.428571428571429</v>
      </c>
      <c r="H121">
        <f t="shared" si="18"/>
        <v>1.5</v>
      </c>
    </row>
    <row r="122" spans="1:11">
      <c r="A122" s="19">
        <v>8076</v>
      </c>
      <c r="B122" s="20" t="s">
        <v>14</v>
      </c>
      <c r="C122" s="20">
        <v>2</v>
      </c>
      <c r="D122" s="20">
        <v>4.08</v>
      </c>
      <c r="E122">
        <v>2.39</v>
      </c>
      <c r="F122">
        <f t="shared" si="1"/>
        <v>1.69</v>
      </c>
      <c r="G122" s="18">
        <f t="shared" si="3"/>
        <v>0.41421568627451</v>
      </c>
      <c r="H122">
        <f t="shared" si="18"/>
        <v>3.38</v>
      </c>
    </row>
    <row r="123" spans="1:11">
      <c r="A123" s="19">
        <v>8077</v>
      </c>
      <c r="B123" s="20" t="s">
        <v>14</v>
      </c>
      <c r="C123" s="20">
        <v>2</v>
      </c>
      <c r="D123" s="20">
        <v>4.3</v>
      </c>
      <c r="E123">
        <v>2.39</v>
      </c>
      <c r="F123">
        <f t="shared" si="1"/>
        <v>1.91</v>
      </c>
      <c r="G123" s="18">
        <f t="shared" si="3"/>
        <v>0.444186046511628</v>
      </c>
      <c r="H123">
        <f t="shared" si="18"/>
        <v>3.82</v>
      </c>
    </row>
    <row r="124" spans="1:11">
      <c r="A124" s="19">
        <v>8077</v>
      </c>
      <c r="B124" s="20" t="s">
        <v>32</v>
      </c>
      <c r="C124" s="20">
        <v>2</v>
      </c>
      <c r="D124" s="20">
        <v>0.28</v>
      </c>
      <c r="E124">
        <v>0.09</v>
      </c>
      <c r="F124">
        <f t="shared" si="1"/>
        <v>0.19</v>
      </c>
      <c r="G124" s="18">
        <f t="shared" si="3"/>
        <v>0.678571428571429</v>
      </c>
      <c r="H124">
        <f t="shared" si="18"/>
        <v>0.38</v>
      </c>
    </row>
    <row r="125" spans="1:11">
      <c r="A125" s="19"/>
      <c r="B125" s="20" t="s">
        <v>1007</v>
      </c>
      <c r="C125" s="20">
        <v>2</v>
      </c>
      <c r="D125" s="20">
        <v>0.6</v>
      </c>
      <c r="E125">
        <v>0.37</v>
      </c>
      <c r="F125">
        <f t="shared" si="1"/>
        <v>0.23</v>
      </c>
      <c r="G125" s="18">
        <f t="shared" si="3"/>
        <v>0.383333333333333</v>
      </c>
      <c r="H125">
        <f t="shared" si="18"/>
        <v>0.46</v>
      </c>
    </row>
    <row r="126" spans="1:11">
      <c r="A126" s="19">
        <v>8078</v>
      </c>
      <c r="B126" s="20" t="s">
        <v>14</v>
      </c>
      <c r="C126" s="20">
        <v>2</v>
      </c>
      <c r="D126" s="20">
        <v>3.57</v>
      </c>
      <c r="E126">
        <v>2.29</v>
      </c>
      <c r="F126">
        <f t="shared" si="1"/>
        <v>1.28</v>
      </c>
      <c r="G126" s="18">
        <f t="shared" si="3"/>
        <v>0.358543417366947</v>
      </c>
      <c r="H126">
        <f t="shared" si="18"/>
        <v>2.56</v>
      </c>
    </row>
    <row r="127" spans="1:11">
      <c r="A127" s="19">
        <v>8078</v>
      </c>
      <c r="B127" s="20" t="s">
        <v>32</v>
      </c>
      <c r="C127" s="20">
        <v>2</v>
      </c>
      <c r="D127" s="20">
        <v>0.32</v>
      </c>
      <c r="E127">
        <v>0.2</v>
      </c>
      <c r="F127">
        <f t="shared" si="1"/>
        <v>0.12</v>
      </c>
      <c r="G127" s="18">
        <f t="shared" si="3"/>
        <v>0.375</v>
      </c>
      <c r="H127">
        <f t="shared" si="18"/>
        <v>0.24</v>
      </c>
    </row>
    <row r="128" spans="1:11">
      <c r="A128" s="19">
        <v>8079</v>
      </c>
      <c r="B128" s="20" t="s">
        <v>14</v>
      </c>
      <c r="C128" s="20">
        <v>2</v>
      </c>
      <c r="D128" s="20">
        <v>2.19</v>
      </c>
      <c r="E128">
        <v>1.23</v>
      </c>
      <c r="F128">
        <f t="shared" si="1"/>
        <v>0.96</v>
      </c>
      <c r="G128" s="18">
        <f t="shared" si="3"/>
        <v>0.438356164383562</v>
      </c>
      <c r="H128">
        <f t="shared" si="18"/>
        <v>1.92</v>
      </c>
    </row>
    <row r="129" spans="1:8">
      <c r="A129" s="19">
        <v>8079</v>
      </c>
      <c r="B129" s="20" t="s">
        <v>32</v>
      </c>
      <c r="C129" s="20">
        <v>2</v>
      </c>
      <c r="D129" s="20">
        <v>1.93</v>
      </c>
      <c r="E129">
        <v>1.06</v>
      </c>
      <c r="F129">
        <f t="shared" si="1"/>
        <v>0.87</v>
      </c>
      <c r="G129" s="18">
        <f t="shared" si="3"/>
        <v>0.450777202072539</v>
      </c>
      <c r="H129">
        <f t="shared" si="18"/>
        <v>1.74</v>
      </c>
    </row>
    <row r="130" spans="1:8">
      <c r="A130" s="19">
        <v>8079</v>
      </c>
      <c r="B130" s="20" t="s">
        <v>160</v>
      </c>
      <c r="C130" s="20">
        <v>2</v>
      </c>
      <c r="D130" s="20">
        <v>1.07</v>
      </c>
      <c r="E130">
        <v>0.44</v>
      </c>
      <c r="F130">
        <f t="shared" si="1"/>
        <v>0.63</v>
      </c>
      <c r="G130" s="18">
        <f t="shared" si="3"/>
        <v>0.588785046728972</v>
      </c>
      <c r="H130">
        <f t="shared" si="18"/>
        <v>1.26</v>
      </c>
    </row>
    <row r="131" spans="1:8">
      <c r="A131" s="19">
        <v>8079</v>
      </c>
      <c r="B131" s="20" t="s">
        <v>138</v>
      </c>
      <c r="C131" s="20"/>
      <c r="D131" s="20"/>
    </row>
    <row r="132" spans="1:8">
      <c r="A132" s="19">
        <v>8080</v>
      </c>
      <c r="B132" s="20" t="s">
        <v>14</v>
      </c>
      <c r="C132" s="20">
        <v>2</v>
      </c>
      <c r="D132" s="20">
        <v>4.3</v>
      </c>
      <c r="E132">
        <v>2.47</v>
      </c>
      <c r="F132">
        <f t="shared" si="1"/>
        <v>1.83</v>
      </c>
      <c r="G132" s="18">
        <f t="shared" si="3"/>
        <v>0.425581395348837</v>
      </c>
      <c r="H132">
        <f t="shared" ref="H132:H163" si="19">F132*C132</f>
        <v>3.66</v>
      </c>
    </row>
    <row r="133" spans="1:8">
      <c r="A133" s="19">
        <v>8080</v>
      </c>
      <c r="B133" s="20" t="s">
        <v>32</v>
      </c>
      <c r="C133" s="20">
        <v>2</v>
      </c>
      <c r="D133" s="20">
        <v>0.5</v>
      </c>
      <c r="E133">
        <v>0.23</v>
      </c>
      <c r="F133">
        <f t="shared" si="1"/>
        <v>0.27</v>
      </c>
      <c r="G133" s="18">
        <f t="shared" si="3"/>
        <v>0.54</v>
      </c>
      <c r="H133">
        <f t="shared" si="19"/>
        <v>0.54</v>
      </c>
    </row>
    <row r="134" spans="1:8">
      <c r="A134" s="19">
        <v>8081</v>
      </c>
      <c r="B134" s="20" t="s">
        <v>14</v>
      </c>
      <c r="C134" s="20">
        <v>2</v>
      </c>
      <c r="D134" s="20">
        <v>3.97</v>
      </c>
      <c r="E134">
        <v>2.66</v>
      </c>
      <c r="F134">
        <f t="shared" si="1"/>
        <v>1.31</v>
      </c>
      <c r="G134" s="18">
        <f t="shared" si="3"/>
        <v>0.329974811083123</v>
      </c>
      <c r="H134">
        <f t="shared" si="19"/>
        <v>2.62</v>
      </c>
    </row>
    <row r="135" spans="1:8">
      <c r="A135" s="19">
        <v>8082</v>
      </c>
      <c r="B135" s="20" t="s">
        <v>14</v>
      </c>
      <c r="C135" s="20">
        <v>2</v>
      </c>
      <c r="D135" s="20">
        <v>3.6</v>
      </c>
      <c r="E135">
        <v>2.06</v>
      </c>
      <c r="F135">
        <f t="shared" si="1"/>
        <v>1.54</v>
      </c>
      <c r="G135" s="18">
        <f t="shared" si="3"/>
        <v>0.427777777777778</v>
      </c>
      <c r="H135">
        <f t="shared" si="19"/>
        <v>3.08</v>
      </c>
    </row>
    <row r="136" spans="1:8">
      <c r="A136" s="19">
        <v>8082</v>
      </c>
      <c r="B136" s="20" t="s">
        <v>32</v>
      </c>
      <c r="C136" s="20">
        <v>2</v>
      </c>
      <c r="D136" s="20">
        <v>0.41</v>
      </c>
      <c r="E136">
        <v>0.27</v>
      </c>
      <c r="F136">
        <f t="shared" si="1"/>
        <v>0.14</v>
      </c>
      <c r="G136" s="18">
        <f t="shared" si="3"/>
        <v>0.341463414634146</v>
      </c>
      <c r="H136">
        <f t="shared" si="19"/>
        <v>0.28</v>
      </c>
    </row>
    <row r="137" spans="1:8">
      <c r="A137" s="19">
        <v>8085</v>
      </c>
      <c r="B137" s="20" t="s">
        <v>14</v>
      </c>
      <c r="C137" s="20">
        <v>2</v>
      </c>
      <c r="D137" s="20">
        <v>2.19</v>
      </c>
      <c r="E137">
        <v>1.19</v>
      </c>
      <c r="F137">
        <f t="shared" si="1"/>
        <v>1</v>
      </c>
      <c r="G137" s="18">
        <f t="shared" si="3"/>
        <v>0.45662100456621</v>
      </c>
      <c r="H137">
        <f t="shared" si="19"/>
        <v>2</v>
      </c>
    </row>
    <row r="138" spans="1:8">
      <c r="A138" s="19">
        <v>8085</v>
      </c>
      <c r="B138" s="20" t="s">
        <v>32</v>
      </c>
      <c r="C138" s="20">
        <v>2</v>
      </c>
      <c r="D138" s="20">
        <v>2.19</v>
      </c>
      <c r="E138">
        <v>1</v>
      </c>
      <c r="F138">
        <f t="shared" ref="F138:F301" si="20">D138-E138</f>
        <v>1.19</v>
      </c>
      <c r="G138" s="18">
        <f t="shared" si="3"/>
        <v>0.54337899543379</v>
      </c>
      <c r="H138">
        <f t="shared" si="19"/>
        <v>2.38</v>
      </c>
    </row>
    <row r="139" spans="1:8">
      <c r="A139" s="19">
        <v>8086</v>
      </c>
      <c r="B139" s="20" t="s">
        <v>14</v>
      </c>
      <c r="C139" s="20">
        <v>2</v>
      </c>
      <c r="D139" s="20">
        <v>1.64</v>
      </c>
      <c r="E139">
        <v>1.05</v>
      </c>
      <c r="F139">
        <f t="shared" si="20"/>
        <v>0.59</v>
      </c>
      <c r="G139" s="18">
        <f t="shared" si="3"/>
        <v>0.359756097560976</v>
      </c>
      <c r="H139">
        <f t="shared" si="19"/>
        <v>1.18</v>
      </c>
    </row>
    <row r="140" spans="1:8">
      <c r="A140" s="19">
        <v>8086</v>
      </c>
      <c r="B140" s="20" t="s">
        <v>32</v>
      </c>
      <c r="C140" s="20">
        <v>2</v>
      </c>
      <c r="D140" s="20">
        <v>1.31</v>
      </c>
      <c r="E140">
        <v>0.87</v>
      </c>
      <c r="F140">
        <f t="shared" si="20"/>
        <v>0.44</v>
      </c>
      <c r="G140" s="18">
        <f t="shared" ref="G140:G301" si="21">F140/D140</f>
        <v>0.33587786259542</v>
      </c>
      <c r="H140">
        <f t="shared" si="19"/>
        <v>0.88</v>
      </c>
    </row>
    <row r="141" spans="1:8">
      <c r="A141" s="19">
        <v>8087</v>
      </c>
      <c r="B141" s="20" t="s">
        <v>14</v>
      </c>
      <c r="C141" s="20">
        <v>2</v>
      </c>
      <c r="D141" s="20">
        <v>2.86</v>
      </c>
      <c r="E141">
        <v>1.63</v>
      </c>
      <c r="F141">
        <f t="shared" si="20"/>
        <v>1.23</v>
      </c>
      <c r="G141" s="18">
        <f t="shared" si="21"/>
        <v>0.43006993006993</v>
      </c>
      <c r="H141">
        <f t="shared" si="19"/>
        <v>2.46</v>
      </c>
    </row>
    <row r="142" spans="1:8">
      <c r="A142" s="19">
        <v>8088</v>
      </c>
      <c r="B142" s="20" t="s">
        <v>14</v>
      </c>
      <c r="C142" s="20">
        <v>2</v>
      </c>
      <c r="D142" s="20">
        <v>2.86</v>
      </c>
      <c r="E142">
        <v>1.61</v>
      </c>
      <c r="F142">
        <f>D142-E142</f>
        <v>1.25</v>
      </c>
      <c r="G142" s="18">
        <f>F142/D142</f>
        <v>0.437062937062937</v>
      </c>
      <c r="H142">
        <f t="shared" si="19"/>
        <v>2.5</v>
      </c>
    </row>
    <row r="143" spans="1:8">
      <c r="A143" s="19">
        <v>8088</v>
      </c>
      <c r="B143" s="20" t="s">
        <v>32</v>
      </c>
      <c r="C143" s="20">
        <v>2</v>
      </c>
      <c r="D143" s="20">
        <v>1.59</v>
      </c>
      <c r="E143">
        <v>0.98</v>
      </c>
      <c r="F143">
        <f>D143-E143</f>
        <v>0.61</v>
      </c>
      <c r="G143" s="18">
        <f>F143/D143</f>
        <v>0.383647798742138</v>
      </c>
      <c r="H143">
        <f t="shared" si="19"/>
        <v>1.22</v>
      </c>
    </row>
    <row r="144" spans="1:8">
      <c r="A144" s="19">
        <v>8089</v>
      </c>
      <c r="B144" s="20" t="s">
        <v>14</v>
      </c>
      <c r="C144" s="20">
        <v>2</v>
      </c>
      <c r="D144" s="20">
        <v>2.8</v>
      </c>
      <c r="E144">
        <v>1.63</v>
      </c>
      <c r="F144">
        <f t="shared" si="20"/>
        <v>1.17</v>
      </c>
      <c r="G144" s="18">
        <f t="shared" si="21"/>
        <v>0.417857142857143</v>
      </c>
      <c r="H144">
        <f t="shared" si="19"/>
        <v>2.34</v>
      </c>
    </row>
    <row r="145" spans="1:8">
      <c r="A145" s="19">
        <v>8089</v>
      </c>
      <c r="B145" s="20" t="s">
        <v>1008</v>
      </c>
      <c r="C145" s="20">
        <v>2</v>
      </c>
      <c r="D145" s="20">
        <v>0.28</v>
      </c>
      <c r="E145">
        <v>0.17</v>
      </c>
      <c r="F145">
        <f t="shared" si="20"/>
        <v>0.11</v>
      </c>
      <c r="G145" s="18">
        <f t="shared" si="21"/>
        <v>0.392857142857143</v>
      </c>
      <c r="H145">
        <f t="shared" si="19"/>
        <v>0.22</v>
      </c>
    </row>
    <row r="146" spans="1:8">
      <c r="A146" s="19">
        <v>8089</v>
      </c>
      <c r="B146" s="20" t="s">
        <v>1009</v>
      </c>
      <c r="C146" s="20">
        <v>2</v>
      </c>
      <c r="D146" s="20">
        <v>0.28</v>
      </c>
      <c r="E146">
        <v>0.14</v>
      </c>
      <c r="F146">
        <f t="shared" si="20"/>
        <v>0.14</v>
      </c>
      <c r="G146" s="18">
        <f t="shared" si="21"/>
        <v>0.5</v>
      </c>
      <c r="H146">
        <f t="shared" si="19"/>
        <v>0.28</v>
      </c>
    </row>
    <row r="147" spans="1:8">
      <c r="A147" s="19">
        <v>8090</v>
      </c>
      <c r="B147" s="20" t="s">
        <v>14</v>
      </c>
      <c r="C147" s="20">
        <v>2</v>
      </c>
      <c r="D147" s="20">
        <v>1.7</v>
      </c>
      <c r="E147">
        <v>0.93</v>
      </c>
      <c r="F147">
        <f t="shared" si="20"/>
        <v>0.77</v>
      </c>
      <c r="G147" s="18">
        <f t="shared" si="21"/>
        <v>0.452941176470588</v>
      </c>
      <c r="H147">
        <f t="shared" si="19"/>
        <v>1.54</v>
      </c>
    </row>
    <row r="148" spans="1:8">
      <c r="A148" s="19">
        <v>8090</v>
      </c>
      <c r="B148" s="20" t="s">
        <v>32</v>
      </c>
      <c r="C148" s="20">
        <v>2</v>
      </c>
      <c r="D148" s="20">
        <v>1.7</v>
      </c>
      <c r="E148">
        <v>0.84</v>
      </c>
      <c r="F148">
        <f t="shared" si="20"/>
        <v>0.86</v>
      </c>
      <c r="G148" s="18">
        <f t="shared" si="21"/>
        <v>0.505882352941176</v>
      </c>
      <c r="H148">
        <f t="shared" si="19"/>
        <v>1.72</v>
      </c>
    </row>
    <row r="149" spans="1:8">
      <c r="A149" s="19">
        <v>8091</v>
      </c>
      <c r="B149" s="20" t="s">
        <v>14</v>
      </c>
      <c r="C149" s="20">
        <v>2</v>
      </c>
      <c r="D149" s="20">
        <v>1.7</v>
      </c>
      <c r="E149">
        <v>0.83</v>
      </c>
      <c r="F149">
        <f t="shared" si="20"/>
        <v>0.87</v>
      </c>
      <c r="G149" s="18">
        <f t="shared" si="21"/>
        <v>0.511764705882353</v>
      </c>
      <c r="H149">
        <f t="shared" si="19"/>
        <v>1.74</v>
      </c>
    </row>
    <row r="150" spans="1:8">
      <c r="A150" s="19">
        <v>8091</v>
      </c>
      <c r="B150" s="20" t="s">
        <v>32</v>
      </c>
      <c r="C150" s="20">
        <v>2</v>
      </c>
      <c r="D150" s="20">
        <v>1.7</v>
      </c>
      <c r="E150">
        <v>0.75</v>
      </c>
      <c r="F150">
        <f t="shared" si="20"/>
        <v>0.95</v>
      </c>
      <c r="G150" s="18">
        <f t="shared" si="21"/>
        <v>0.558823529411765</v>
      </c>
      <c r="H150">
        <f t="shared" si="19"/>
        <v>1.9</v>
      </c>
    </row>
    <row r="151" spans="1:8">
      <c r="A151" s="19">
        <v>8092</v>
      </c>
      <c r="B151" s="20" t="s">
        <v>14</v>
      </c>
      <c r="C151" s="20">
        <v>2</v>
      </c>
      <c r="D151" s="20">
        <v>2.86</v>
      </c>
      <c r="E151">
        <v>1.55</v>
      </c>
      <c r="F151">
        <f t="shared" si="20"/>
        <v>1.31</v>
      </c>
      <c r="G151" s="18">
        <f t="shared" si="21"/>
        <v>0.458041958041958</v>
      </c>
      <c r="H151">
        <f t="shared" si="19"/>
        <v>2.62</v>
      </c>
    </row>
    <row r="152" spans="1:8">
      <c r="A152" s="19">
        <v>8093</v>
      </c>
      <c r="B152" s="20" t="s">
        <v>14</v>
      </c>
      <c r="C152" s="20">
        <v>2</v>
      </c>
      <c r="D152" s="20">
        <v>1.91</v>
      </c>
      <c r="E152">
        <v>1.03</v>
      </c>
      <c r="F152">
        <f t="shared" si="20"/>
        <v>0.88</v>
      </c>
      <c r="G152" s="18">
        <f t="shared" si="21"/>
        <v>0.460732984293194</v>
      </c>
      <c r="H152">
        <f t="shared" si="19"/>
        <v>1.76</v>
      </c>
    </row>
    <row r="153" spans="1:8">
      <c r="A153" s="19">
        <v>8093</v>
      </c>
      <c r="B153" s="20" t="s">
        <v>32</v>
      </c>
      <c r="C153" s="20">
        <v>2</v>
      </c>
      <c r="D153" s="20">
        <v>1.7</v>
      </c>
      <c r="E153">
        <v>0.92</v>
      </c>
      <c r="F153">
        <f t="shared" si="20"/>
        <v>0.78</v>
      </c>
      <c r="G153" s="18">
        <f t="shared" si="21"/>
        <v>0.458823529411765</v>
      </c>
      <c r="H153">
        <f t="shared" si="19"/>
        <v>1.56</v>
      </c>
    </row>
    <row r="154" spans="1:8">
      <c r="A154" s="19">
        <v>8094</v>
      </c>
      <c r="B154" s="20" t="s">
        <v>14</v>
      </c>
      <c r="C154" s="20">
        <v>2</v>
      </c>
      <c r="D154" s="20">
        <v>1.46</v>
      </c>
      <c r="E154">
        <v>0.87</v>
      </c>
      <c r="F154">
        <f t="shared" si="20"/>
        <v>0.59</v>
      </c>
      <c r="G154" s="18">
        <f t="shared" si="21"/>
        <v>0.404109589041096</v>
      </c>
      <c r="H154">
        <f t="shared" si="19"/>
        <v>1.18</v>
      </c>
    </row>
    <row r="155" spans="1:8">
      <c r="A155" s="19">
        <v>8094</v>
      </c>
      <c r="B155" s="20" t="s">
        <v>32</v>
      </c>
      <c r="C155" s="20">
        <v>2</v>
      </c>
      <c r="D155" s="20">
        <v>1.46</v>
      </c>
      <c r="E155">
        <v>0.79</v>
      </c>
      <c r="F155">
        <f t="shared" si="20"/>
        <v>0.67</v>
      </c>
      <c r="G155" s="18">
        <f t="shared" si="21"/>
        <v>0.458904109589041</v>
      </c>
      <c r="H155">
        <f t="shared" si="19"/>
        <v>1.34</v>
      </c>
    </row>
    <row r="156" spans="1:8">
      <c r="A156" s="19">
        <v>8095</v>
      </c>
      <c r="B156" s="20" t="s">
        <v>14</v>
      </c>
      <c r="C156" s="20">
        <v>2</v>
      </c>
      <c r="D156" s="20">
        <v>2</v>
      </c>
      <c r="E156">
        <v>1.41</v>
      </c>
      <c r="F156">
        <f t="shared" si="20"/>
        <v>0.59</v>
      </c>
      <c r="G156" s="18">
        <f t="shared" si="21"/>
        <v>0.295</v>
      </c>
      <c r="H156">
        <f t="shared" si="19"/>
        <v>1.18</v>
      </c>
    </row>
    <row r="157" spans="1:8">
      <c r="A157" s="19">
        <v>8095</v>
      </c>
      <c r="B157" s="20" t="s">
        <v>32</v>
      </c>
      <c r="C157" s="20">
        <v>2</v>
      </c>
      <c r="D157" s="20">
        <v>2</v>
      </c>
      <c r="E157">
        <v>1.29</v>
      </c>
      <c r="F157">
        <f t="shared" si="20"/>
        <v>0.71</v>
      </c>
      <c r="G157" s="18">
        <f t="shared" si="21"/>
        <v>0.355</v>
      </c>
      <c r="H157">
        <f t="shared" si="19"/>
        <v>1.42</v>
      </c>
    </row>
    <row r="158" spans="1:8">
      <c r="A158" s="19">
        <v>8095</v>
      </c>
      <c r="B158" s="20" t="s">
        <v>1008</v>
      </c>
      <c r="C158" s="20">
        <v>2</v>
      </c>
      <c r="D158" s="20">
        <v>0.245</v>
      </c>
      <c r="E158">
        <v>0.12</v>
      </c>
      <c r="F158">
        <f t="shared" si="20"/>
        <v>0.125</v>
      </c>
      <c r="G158" s="18">
        <f t="shared" si="21"/>
        <v>0.510204081632653</v>
      </c>
      <c r="H158">
        <f t="shared" si="19"/>
        <v>0.25</v>
      </c>
    </row>
    <row r="159" spans="1:8">
      <c r="A159" s="19">
        <v>8095</v>
      </c>
      <c r="B159" s="20" t="s">
        <v>1009</v>
      </c>
      <c r="C159" s="20">
        <v>2</v>
      </c>
      <c r="D159" s="20">
        <v>0.245</v>
      </c>
      <c r="E159">
        <v>0.12</v>
      </c>
      <c r="F159">
        <f t="shared" si="20"/>
        <v>0.125</v>
      </c>
      <c r="G159" s="18">
        <f t="shared" si="21"/>
        <v>0.510204081632653</v>
      </c>
      <c r="H159">
        <f t="shared" si="19"/>
        <v>0.25</v>
      </c>
    </row>
    <row r="160" spans="1:8">
      <c r="A160" s="19">
        <v>8096</v>
      </c>
      <c r="B160" s="20" t="s">
        <v>14</v>
      </c>
      <c r="C160" s="20">
        <v>2</v>
      </c>
      <c r="D160" s="20">
        <v>2.72</v>
      </c>
      <c r="E160">
        <v>1.63</v>
      </c>
      <c r="F160">
        <f t="shared" si="20"/>
        <v>1.09</v>
      </c>
      <c r="G160" s="18">
        <f t="shared" si="21"/>
        <v>0.400735294117647</v>
      </c>
      <c r="H160">
        <f t="shared" si="19"/>
        <v>2.18</v>
      </c>
    </row>
    <row r="161" spans="1:8">
      <c r="A161" s="19">
        <v>8097</v>
      </c>
      <c r="B161" s="20" t="s">
        <v>14</v>
      </c>
      <c r="C161" s="20">
        <v>2</v>
      </c>
      <c r="D161" s="20">
        <v>2.04</v>
      </c>
      <c r="E161">
        <v>1.07</v>
      </c>
      <c r="F161">
        <f t="shared" si="20"/>
        <v>0.97</v>
      </c>
      <c r="G161" s="18">
        <f t="shared" si="21"/>
        <v>0.475490196078431</v>
      </c>
      <c r="H161">
        <f t="shared" si="19"/>
        <v>1.94</v>
      </c>
    </row>
    <row r="162" spans="1:8">
      <c r="A162" s="19">
        <v>8097</v>
      </c>
      <c r="B162" s="20" t="s">
        <v>32</v>
      </c>
      <c r="C162" s="20">
        <v>2</v>
      </c>
      <c r="D162" s="20">
        <v>1.36</v>
      </c>
      <c r="E162">
        <v>0.77</v>
      </c>
      <c r="F162">
        <f t="shared" si="20"/>
        <v>0.59</v>
      </c>
      <c r="G162" s="18">
        <f t="shared" si="21"/>
        <v>0.433823529411765</v>
      </c>
      <c r="H162">
        <f t="shared" si="19"/>
        <v>1.18</v>
      </c>
    </row>
    <row r="163" spans="1:8">
      <c r="A163" s="19">
        <v>8099</v>
      </c>
      <c r="B163" s="20" t="s">
        <v>14</v>
      </c>
      <c r="C163" s="20">
        <v>2</v>
      </c>
      <c r="D163" s="20">
        <v>3.06</v>
      </c>
      <c r="E163">
        <v>1.45</v>
      </c>
      <c r="F163">
        <f t="shared" si="20"/>
        <v>1.61</v>
      </c>
      <c r="G163" s="18">
        <f t="shared" si="21"/>
        <v>0.526143790849673</v>
      </c>
      <c r="H163">
        <f t="shared" si="19"/>
        <v>3.22</v>
      </c>
    </row>
    <row r="164" spans="1:8">
      <c r="A164" s="19">
        <v>8101</v>
      </c>
      <c r="B164" s="20" t="s">
        <v>14</v>
      </c>
      <c r="C164" s="20">
        <v>2</v>
      </c>
      <c r="D164" s="20">
        <v>1.7</v>
      </c>
      <c r="E164">
        <v>1.01</v>
      </c>
      <c r="F164">
        <f t="shared" si="20"/>
        <v>0.69</v>
      </c>
      <c r="G164" s="18">
        <f t="shared" si="21"/>
        <v>0.405882352941176</v>
      </c>
      <c r="H164">
        <f t="shared" ref="H164:H194" si="22">F164*C164</f>
        <v>1.38</v>
      </c>
    </row>
    <row r="165" spans="1:8">
      <c r="A165" s="19">
        <v>8101</v>
      </c>
      <c r="B165" s="20" t="s">
        <v>32</v>
      </c>
      <c r="C165" s="20">
        <v>2</v>
      </c>
      <c r="D165" s="20">
        <v>1.7</v>
      </c>
      <c r="E165">
        <v>0.94</v>
      </c>
      <c r="F165">
        <f t="shared" si="20"/>
        <v>0.76</v>
      </c>
      <c r="G165" s="18">
        <f t="shared" si="21"/>
        <v>0.447058823529412</v>
      </c>
      <c r="H165">
        <f t="shared" si="22"/>
        <v>1.52</v>
      </c>
    </row>
    <row r="166" spans="1:8">
      <c r="A166" s="19">
        <v>8102</v>
      </c>
      <c r="B166" s="20" t="s">
        <v>14</v>
      </c>
      <c r="C166" s="20">
        <v>2</v>
      </c>
      <c r="D166" s="20">
        <v>3.143</v>
      </c>
      <c r="E166">
        <v>1.84</v>
      </c>
      <c r="F166">
        <f>D166-E166</f>
        <v>1.303</v>
      </c>
      <c r="G166" s="18">
        <f t="shared" si="21"/>
        <v>0.414572064906141</v>
      </c>
      <c r="H166">
        <f t="shared" si="22"/>
        <v>2.606</v>
      </c>
    </row>
    <row r="167" spans="1:8">
      <c r="A167" s="19">
        <v>8103</v>
      </c>
      <c r="B167" s="20" t="s">
        <v>14</v>
      </c>
      <c r="C167" s="20">
        <v>2</v>
      </c>
      <c r="D167" s="20">
        <v>3.5</v>
      </c>
      <c r="E167">
        <v>1.92</v>
      </c>
      <c r="F167">
        <f>D167-E167</f>
        <v>1.58</v>
      </c>
      <c r="G167" s="18">
        <f>F167/D167</f>
        <v>0.451428571428571</v>
      </c>
      <c r="H167">
        <f t="shared" si="22"/>
        <v>3.16</v>
      </c>
    </row>
    <row r="168" spans="1:8">
      <c r="A168" s="19">
        <v>8104</v>
      </c>
      <c r="B168" s="20" t="s">
        <v>14</v>
      </c>
      <c r="C168" s="20">
        <v>2</v>
      </c>
      <c r="D168" s="20">
        <v>2.29</v>
      </c>
      <c r="E168">
        <v>1.29</v>
      </c>
      <c r="F168">
        <f>D168-E168</f>
        <v>1</v>
      </c>
      <c r="G168" s="18">
        <f>F168/D168</f>
        <v>0.436681222707424</v>
      </c>
      <c r="H168">
        <f t="shared" si="22"/>
        <v>2</v>
      </c>
    </row>
    <row r="169" spans="1:8">
      <c r="A169" s="19">
        <v>8104</v>
      </c>
      <c r="B169" s="20" t="s">
        <v>32</v>
      </c>
      <c r="C169" s="20">
        <v>2</v>
      </c>
      <c r="D169" s="20">
        <v>2.29</v>
      </c>
      <c r="E169">
        <v>1.25</v>
      </c>
      <c r="F169">
        <f>D169-E169</f>
        <v>1.04</v>
      </c>
      <c r="G169" s="18">
        <f>F169/D169</f>
        <v>0.454148471615721</v>
      </c>
      <c r="H169">
        <f t="shared" si="22"/>
        <v>2.08</v>
      </c>
    </row>
    <row r="170" spans="1:8">
      <c r="A170" s="19">
        <v>8105</v>
      </c>
      <c r="B170" s="20" t="s">
        <v>14</v>
      </c>
      <c r="C170" s="20">
        <v>2</v>
      </c>
      <c r="D170" s="20">
        <v>3.6</v>
      </c>
      <c r="E170" s="22">
        <v>1.85</v>
      </c>
      <c r="F170" s="23">
        <f>D170-E170</f>
        <v>1.75</v>
      </c>
      <c r="G170" s="18">
        <f>F170/D170</f>
        <v>0.486111111111111</v>
      </c>
      <c r="H170">
        <f t="shared" si="22"/>
        <v>3.5</v>
      </c>
    </row>
    <row r="171" spans="1:8">
      <c r="A171" s="19">
        <v>8107</v>
      </c>
      <c r="B171" s="20" t="s">
        <v>14</v>
      </c>
      <c r="C171" s="20">
        <v>2</v>
      </c>
      <c r="D171" s="20">
        <v>1.82</v>
      </c>
      <c r="E171">
        <v>1.05</v>
      </c>
      <c r="F171">
        <f t="shared" si="20"/>
        <v>0.77</v>
      </c>
      <c r="G171" s="18">
        <f t="shared" si="21"/>
        <v>0.423076923076923</v>
      </c>
      <c r="H171">
        <f t="shared" si="22"/>
        <v>1.54</v>
      </c>
    </row>
    <row r="172" spans="1:8">
      <c r="A172" s="19">
        <v>8107</v>
      </c>
      <c r="B172" s="20" t="s">
        <v>32</v>
      </c>
      <c r="C172" s="20">
        <v>2</v>
      </c>
      <c r="D172" s="20">
        <v>1.82</v>
      </c>
      <c r="E172">
        <v>1.06</v>
      </c>
      <c r="F172">
        <f t="shared" si="20"/>
        <v>0.76</v>
      </c>
      <c r="G172" s="18">
        <f t="shared" si="21"/>
        <v>0.417582417582418</v>
      </c>
      <c r="H172">
        <f t="shared" si="22"/>
        <v>1.52</v>
      </c>
    </row>
    <row r="173" spans="1:8">
      <c r="A173" s="19">
        <v>8107</v>
      </c>
      <c r="B173" s="20" t="s">
        <v>303</v>
      </c>
      <c r="C173" s="20">
        <v>2</v>
      </c>
      <c r="D173" s="20">
        <v>0.74</v>
      </c>
      <c r="E173">
        <v>0.32</v>
      </c>
      <c r="F173">
        <f t="shared" si="20"/>
        <v>0.42</v>
      </c>
      <c r="G173" s="18">
        <f t="shared" si="21"/>
        <v>0.567567567567568</v>
      </c>
      <c r="H173">
        <f t="shared" si="22"/>
        <v>0.84</v>
      </c>
    </row>
    <row r="174" spans="1:8">
      <c r="A174" s="19">
        <v>8108</v>
      </c>
      <c r="B174" s="20" t="s">
        <v>14</v>
      </c>
      <c r="C174" s="20">
        <v>2</v>
      </c>
      <c r="D174" s="20">
        <v>4.08</v>
      </c>
      <c r="E174" s="23">
        <v>2.42</v>
      </c>
      <c r="F174">
        <f t="shared" si="20"/>
        <v>1.66</v>
      </c>
      <c r="G174" s="18">
        <f t="shared" si="21"/>
        <v>0.406862745098039</v>
      </c>
      <c r="H174">
        <f t="shared" si="22"/>
        <v>3.32</v>
      </c>
    </row>
    <row r="175" spans="1:8">
      <c r="A175" s="19">
        <v>8109</v>
      </c>
      <c r="B175" s="20" t="s">
        <v>14</v>
      </c>
      <c r="C175" s="20">
        <v>2</v>
      </c>
      <c r="D175" s="20">
        <v>3.57</v>
      </c>
      <c r="E175">
        <v>1.86</v>
      </c>
      <c r="F175">
        <f t="shared" si="20"/>
        <v>1.71</v>
      </c>
      <c r="G175" s="18">
        <f t="shared" si="21"/>
        <v>0.478991596638655</v>
      </c>
      <c r="H175">
        <f t="shared" si="22"/>
        <v>3.42</v>
      </c>
    </row>
    <row r="176" spans="1:8">
      <c r="A176" s="19">
        <v>8110</v>
      </c>
      <c r="B176" s="20" t="s">
        <v>14</v>
      </c>
      <c r="C176" s="20">
        <v>2</v>
      </c>
      <c r="D176" s="20">
        <v>2.1</v>
      </c>
      <c r="E176">
        <v>1.32</v>
      </c>
      <c r="F176">
        <f t="shared" si="20"/>
        <v>0.78</v>
      </c>
      <c r="G176" s="18">
        <f t="shared" si="21"/>
        <v>0.371428571428571</v>
      </c>
      <c r="H176">
        <f t="shared" si="22"/>
        <v>1.56</v>
      </c>
    </row>
    <row r="177" spans="1:8">
      <c r="A177" s="19">
        <v>8110</v>
      </c>
      <c r="B177" s="20" t="s">
        <v>32</v>
      </c>
      <c r="C177" s="20">
        <v>2</v>
      </c>
      <c r="D177" s="20">
        <v>2.1</v>
      </c>
      <c r="E177">
        <v>1.12</v>
      </c>
      <c r="F177">
        <f t="shared" si="20"/>
        <v>0.98</v>
      </c>
      <c r="G177" s="18">
        <f t="shared" si="21"/>
        <v>0.466666666666667</v>
      </c>
      <c r="H177">
        <f t="shared" si="22"/>
        <v>1.96</v>
      </c>
    </row>
    <row r="178" spans="1:8">
      <c r="A178" s="19">
        <v>8110</v>
      </c>
      <c r="B178" s="20" t="s">
        <v>160</v>
      </c>
      <c r="C178" s="20">
        <v>2</v>
      </c>
      <c r="D178" s="20">
        <v>0.25</v>
      </c>
      <c r="E178">
        <v>0.17</v>
      </c>
      <c r="F178">
        <f t="shared" si="20"/>
        <v>0.08</v>
      </c>
      <c r="G178" s="18">
        <f t="shared" si="21"/>
        <v>0.32</v>
      </c>
      <c r="H178">
        <f t="shared" si="22"/>
        <v>0.16</v>
      </c>
    </row>
    <row r="179" spans="1:8">
      <c r="A179" s="19">
        <v>8111</v>
      </c>
      <c r="B179" s="20" t="s">
        <v>14</v>
      </c>
      <c r="C179" s="20">
        <v>2</v>
      </c>
      <c r="D179" s="20">
        <v>2.18</v>
      </c>
      <c r="E179">
        <v>1.46</v>
      </c>
      <c r="F179">
        <f t="shared" si="20"/>
        <v>0.72</v>
      </c>
      <c r="G179" s="18">
        <f t="shared" si="21"/>
        <v>0.330275229357798</v>
      </c>
      <c r="H179">
        <f t="shared" si="22"/>
        <v>1.44</v>
      </c>
    </row>
    <row r="180" spans="1:8">
      <c r="A180" s="19">
        <v>8111</v>
      </c>
      <c r="B180" s="20" t="s">
        <v>32</v>
      </c>
      <c r="C180" s="20">
        <v>2</v>
      </c>
      <c r="D180" s="25">
        <v>2.04</v>
      </c>
      <c r="E180" s="25">
        <v>0.86</v>
      </c>
      <c r="F180">
        <f t="shared" si="20"/>
        <v>1.18</v>
      </c>
      <c r="G180" s="18">
        <f t="shared" si="21"/>
        <v>0.57843137254902</v>
      </c>
      <c r="H180">
        <f t="shared" si="22"/>
        <v>2.36</v>
      </c>
    </row>
    <row r="181" spans="1:8">
      <c r="A181" s="19">
        <v>8111</v>
      </c>
      <c r="B181" s="20" t="s">
        <v>1008</v>
      </c>
      <c r="C181" s="20">
        <v>2</v>
      </c>
      <c r="D181" s="20">
        <v>0.58</v>
      </c>
      <c r="E181">
        <v>0.34</v>
      </c>
      <c r="F181">
        <f t="shared" si="20"/>
        <v>0.24</v>
      </c>
      <c r="G181" s="18">
        <f t="shared" si="21"/>
        <v>0.413793103448276</v>
      </c>
      <c r="H181">
        <f t="shared" si="22"/>
        <v>0.48</v>
      </c>
    </row>
    <row r="182" spans="1:8">
      <c r="A182" s="19">
        <v>8111</v>
      </c>
      <c r="B182" s="20" t="s">
        <v>1009</v>
      </c>
      <c r="C182" s="20">
        <v>2</v>
      </c>
      <c r="D182" s="20">
        <v>0.52</v>
      </c>
      <c r="E182">
        <v>0.33</v>
      </c>
      <c r="F182">
        <f t="shared" si="20"/>
        <v>0.19</v>
      </c>
      <c r="G182" s="18">
        <f t="shared" si="21"/>
        <v>0.365384615384615</v>
      </c>
      <c r="H182">
        <f t="shared" si="22"/>
        <v>0.38</v>
      </c>
    </row>
    <row r="183" spans="1:8">
      <c r="A183" s="19">
        <v>8113</v>
      </c>
      <c r="B183" s="20" t="s">
        <v>14</v>
      </c>
      <c r="C183" s="20">
        <v>2</v>
      </c>
      <c r="D183" s="20">
        <v>1.75</v>
      </c>
      <c r="E183">
        <v>1.04</v>
      </c>
      <c r="F183">
        <f t="shared" si="20"/>
        <v>0.71</v>
      </c>
      <c r="G183" s="18">
        <f t="shared" si="21"/>
        <v>0.405714285714286</v>
      </c>
      <c r="H183">
        <f t="shared" si="22"/>
        <v>1.42</v>
      </c>
    </row>
    <row r="184" spans="1:8">
      <c r="A184" s="19">
        <v>8113</v>
      </c>
      <c r="B184" s="20" t="s">
        <v>32</v>
      </c>
      <c r="C184" s="20">
        <v>2</v>
      </c>
      <c r="D184" s="20">
        <v>1.75</v>
      </c>
      <c r="E184">
        <v>1.04</v>
      </c>
      <c r="F184">
        <f t="shared" si="20"/>
        <v>0.71</v>
      </c>
      <c r="G184" s="18">
        <f t="shared" si="21"/>
        <v>0.405714285714286</v>
      </c>
      <c r="H184">
        <f t="shared" si="22"/>
        <v>1.42</v>
      </c>
    </row>
    <row r="185" spans="1:8">
      <c r="A185" s="19">
        <v>8113</v>
      </c>
      <c r="B185" s="20" t="s">
        <v>303</v>
      </c>
      <c r="C185" s="20">
        <v>2</v>
      </c>
      <c r="D185" s="20">
        <v>1.36</v>
      </c>
      <c r="E185">
        <v>0.64</v>
      </c>
      <c r="F185">
        <f>D185-E185</f>
        <v>0.72</v>
      </c>
      <c r="G185" s="18">
        <f>F185/D185</f>
        <v>0.529411764705882</v>
      </c>
      <c r="H185">
        <f t="shared" si="22"/>
        <v>1.44</v>
      </c>
    </row>
    <row r="186" spans="1:8">
      <c r="A186" s="19">
        <v>8114</v>
      </c>
      <c r="B186" s="20" t="s">
        <v>14</v>
      </c>
      <c r="C186" s="20">
        <v>2</v>
      </c>
      <c r="D186" s="20">
        <v>4.08</v>
      </c>
      <c r="E186">
        <v>2.44</v>
      </c>
      <c r="F186">
        <f>D186-E186</f>
        <v>1.64</v>
      </c>
      <c r="G186" s="18">
        <f>F186/D186</f>
        <v>0.401960784313726</v>
      </c>
      <c r="H186">
        <f t="shared" si="22"/>
        <v>3.28</v>
      </c>
    </row>
    <row r="187" spans="1:8">
      <c r="A187" s="19">
        <v>8115</v>
      </c>
      <c r="B187" s="20" t="s">
        <v>14</v>
      </c>
      <c r="C187" s="20">
        <v>2</v>
      </c>
      <c r="D187" s="20">
        <v>3.57</v>
      </c>
      <c r="E187">
        <v>2</v>
      </c>
      <c r="F187">
        <f t="shared" si="20"/>
        <v>1.57</v>
      </c>
      <c r="G187" s="18">
        <f t="shared" si="21"/>
        <v>0.439775910364146</v>
      </c>
      <c r="H187">
        <f t="shared" si="22"/>
        <v>3.14</v>
      </c>
    </row>
    <row r="188" spans="1:8">
      <c r="A188" s="19">
        <v>8115</v>
      </c>
      <c r="B188" s="20" t="s">
        <v>32</v>
      </c>
      <c r="C188" s="20">
        <v>2</v>
      </c>
      <c r="D188" s="20">
        <v>0.27</v>
      </c>
      <c r="E188">
        <v>0.2</v>
      </c>
      <c r="F188">
        <f t="shared" si="20"/>
        <v>0.07</v>
      </c>
      <c r="G188" s="18">
        <f t="shared" si="21"/>
        <v>0.259259259259259</v>
      </c>
      <c r="H188">
        <f t="shared" si="22"/>
        <v>0.14</v>
      </c>
    </row>
    <row r="189" spans="1:8">
      <c r="A189" s="19">
        <v>8116</v>
      </c>
      <c r="B189" s="20" t="s">
        <v>303</v>
      </c>
      <c r="C189" s="20">
        <v>2</v>
      </c>
      <c r="D189" s="20">
        <v>1.36</v>
      </c>
      <c r="E189">
        <v>0.63</v>
      </c>
      <c r="F189">
        <f t="shared" si="20"/>
        <v>0.73</v>
      </c>
      <c r="G189" s="18">
        <f t="shared" si="21"/>
        <v>0.536764705882353</v>
      </c>
      <c r="H189">
        <f t="shared" si="22"/>
        <v>1.46</v>
      </c>
    </row>
    <row r="190" spans="1:8">
      <c r="A190" s="19">
        <v>8117</v>
      </c>
      <c r="B190" s="20" t="s">
        <v>303</v>
      </c>
      <c r="C190" s="20">
        <v>2</v>
      </c>
      <c r="D190" s="20">
        <v>2.33</v>
      </c>
      <c r="E190">
        <v>0.97</v>
      </c>
      <c r="F190">
        <f t="shared" si="20"/>
        <v>1.36</v>
      </c>
      <c r="G190" s="18">
        <f t="shared" si="21"/>
        <v>0.583690987124464</v>
      </c>
      <c r="H190">
        <f t="shared" si="22"/>
        <v>2.72</v>
      </c>
    </row>
    <row r="191" spans="1:8">
      <c r="A191" s="19">
        <v>8118</v>
      </c>
      <c r="B191" s="20" t="s">
        <v>14</v>
      </c>
      <c r="C191" s="20">
        <v>2</v>
      </c>
      <c r="D191" s="20">
        <v>3.57</v>
      </c>
      <c r="E191">
        <v>2.23</v>
      </c>
      <c r="F191">
        <f t="shared" si="20"/>
        <v>1.34</v>
      </c>
      <c r="G191" s="18">
        <f t="shared" si="21"/>
        <v>0.375350140056022</v>
      </c>
      <c r="H191">
        <f t="shared" si="22"/>
        <v>2.68</v>
      </c>
    </row>
    <row r="192" spans="1:8">
      <c r="A192" s="19">
        <v>8119</v>
      </c>
      <c r="B192" s="20" t="s">
        <v>14</v>
      </c>
      <c r="C192" s="20">
        <v>2</v>
      </c>
      <c r="D192" s="20">
        <v>2.72</v>
      </c>
      <c r="E192">
        <v>1.45</v>
      </c>
      <c r="F192">
        <f>D192-E192</f>
        <v>1.27</v>
      </c>
      <c r="G192" s="18">
        <f>F192/D192</f>
        <v>0.466911764705882</v>
      </c>
      <c r="H192">
        <f t="shared" si="22"/>
        <v>2.54</v>
      </c>
    </row>
    <row r="193" spans="1:8">
      <c r="A193" s="19">
        <v>8119</v>
      </c>
      <c r="B193" s="20" t="s">
        <v>32</v>
      </c>
      <c r="C193" s="20">
        <v>2</v>
      </c>
      <c r="D193" s="20">
        <v>2.1</v>
      </c>
      <c r="E193">
        <v>1.08</v>
      </c>
      <c r="F193">
        <f>D193-E193</f>
        <v>1.02</v>
      </c>
      <c r="G193" s="18">
        <f>F193/D193</f>
        <v>0.485714285714286</v>
      </c>
      <c r="H193">
        <f t="shared" si="22"/>
        <v>2.04</v>
      </c>
    </row>
    <row r="194" spans="1:8">
      <c r="A194" s="19">
        <v>8119</v>
      </c>
      <c r="B194" s="20" t="s">
        <v>160</v>
      </c>
      <c r="C194" s="20">
        <v>2</v>
      </c>
      <c r="D194" s="20">
        <v>0.32</v>
      </c>
      <c r="E194">
        <v>0.2</v>
      </c>
      <c r="F194">
        <f>D194-E194</f>
        <v>0.12</v>
      </c>
      <c r="G194" s="18">
        <f>F194/D194</f>
        <v>0.375</v>
      </c>
      <c r="H194">
        <f t="shared" si="22"/>
        <v>0.24</v>
      </c>
    </row>
    <row r="195" spans="1:8">
      <c r="A195" s="19">
        <v>8119</v>
      </c>
      <c r="B195" s="20" t="s">
        <v>138</v>
      </c>
      <c r="C195" s="20">
        <v>2</v>
      </c>
      <c r="D195" s="20">
        <v>0.21</v>
      </c>
    </row>
    <row r="196" spans="1:8">
      <c r="A196" s="19">
        <v>8120</v>
      </c>
      <c r="B196" s="20" t="s">
        <v>14</v>
      </c>
      <c r="C196" s="20">
        <v>2</v>
      </c>
      <c r="D196" s="20">
        <v>3.1</v>
      </c>
      <c r="E196">
        <v>1.45</v>
      </c>
      <c r="F196">
        <f>D196-E196</f>
        <v>1.65</v>
      </c>
      <c r="G196" s="18">
        <f>F196/D196</f>
        <v>0.532258064516129</v>
      </c>
      <c r="H196">
        <f t="shared" ref="H196:H197" si="23">F196*C196</f>
        <v>3.3</v>
      </c>
    </row>
    <row r="197" spans="1:8">
      <c r="A197" s="19">
        <v>8120</v>
      </c>
      <c r="B197" s="20" t="s">
        <v>32</v>
      </c>
      <c r="C197" s="20">
        <v>2</v>
      </c>
      <c r="D197" s="20">
        <v>2.45</v>
      </c>
      <c r="E197">
        <v>1.08</v>
      </c>
      <c r="F197">
        <f>D197-E197</f>
        <v>1.37</v>
      </c>
      <c r="G197" s="18">
        <f>F197/D197</f>
        <v>0.559183673469388</v>
      </c>
      <c r="H197">
        <f t="shared" si="23"/>
        <v>2.74</v>
      </c>
    </row>
    <row r="198" spans="1:8">
      <c r="A198" s="19">
        <v>8120</v>
      </c>
      <c r="B198" s="20" t="s">
        <v>160</v>
      </c>
      <c r="C198" s="20"/>
      <c r="D198" s="20"/>
      <c r="E198">
        <v>0.2</v>
      </c>
    </row>
    <row r="199" spans="1:8">
      <c r="A199" s="19">
        <v>8121</v>
      </c>
      <c r="B199" s="20" t="s">
        <v>14</v>
      </c>
      <c r="C199" s="20">
        <v>2</v>
      </c>
      <c r="D199" s="20">
        <v>2.04</v>
      </c>
      <c r="E199">
        <v>1.26</v>
      </c>
      <c r="F199">
        <f t="shared" si="20"/>
        <v>0.78</v>
      </c>
      <c r="G199" s="18">
        <f t="shared" si="21"/>
        <v>0.382352941176471</v>
      </c>
      <c r="H199">
        <f t="shared" ref="H199:H213" si="24">F199*C199</f>
        <v>1.56</v>
      </c>
    </row>
    <row r="200" spans="1:8">
      <c r="A200" s="19">
        <v>8121</v>
      </c>
      <c r="B200" s="20" t="s">
        <v>32</v>
      </c>
      <c r="C200" s="20">
        <v>2</v>
      </c>
      <c r="D200" s="20">
        <v>2.04</v>
      </c>
      <c r="E200">
        <v>0.95</v>
      </c>
      <c r="F200">
        <f t="shared" si="20"/>
        <v>1.09</v>
      </c>
      <c r="G200" s="18">
        <f t="shared" si="21"/>
        <v>0.534313725490196</v>
      </c>
      <c r="H200">
        <f t="shared" si="24"/>
        <v>2.18</v>
      </c>
    </row>
    <row r="201" spans="1:8">
      <c r="A201" s="19">
        <v>8122</v>
      </c>
      <c r="B201" s="20" t="s">
        <v>14</v>
      </c>
      <c r="C201" s="20">
        <v>2</v>
      </c>
      <c r="D201" s="20">
        <v>1.54</v>
      </c>
      <c r="E201">
        <v>0.83</v>
      </c>
      <c r="F201">
        <f>D201-E201</f>
        <v>0.71</v>
      </c>
      <c r="G201" s="18">
        <f>F201/D201</f>
        <v>0.461038961038961</v>
      </c>
      <c r="H201">
        <f t="shared" si="24"/>
        <v>1.42</v>
      </c>
    </row>
    <row r="202" spans="1:8">
      <c r="A202" s="17">
        <v>8123</v>
      </c>
      <c r="B202" s="20" t="s">
        <v>14</v>
      </c>
      <c r="C202" s="20">
        <v>2</v>
      </c>
      <c r="D202" s="20">
        <v>5.52</v>
      </c>
      <c r="E202">
        <v>2.9</v>
      </c>
      <c r="F202">
        <f t="shared" si="20"/>
        <v>2.62</v>
      </c>
      <c r="G202" s="18">
        <f t="shared" si="21"/>
        <v>0.47463768115942</v>
      </c>
      <c r="H202">
        <f t="shared" si="24"/>
        <v>5.24</v>
      </c>
    </row>
    <row r="203" spans="1:8">
      <c r="A203" s="17">
        <v>8124</v>
      </c>
      <c r="B203" s="20" t="s">
        <v>14</v>
      </c>
      <c r="C203" s="20">
        <v>2</v>
      </c>
      <c r="D203" s="20">
        <v>2.05</v>
      </c>
      <c r="E203">
        <v>1.09</v>
      </c>
      <c r="F203">
        <f t="shared" si="20"/>
        <v>0.96</v>
      </c>
      <c r="G203" s="18">
        <f t="shared" si="21"/>
        <v>0.468292682926829</v>
      </c>
      <c r="H203">
        <f t="shared" si="24"/>
        <v>1.92</v>
      </c>
    </row>
    <row r="204" spans="1:8">
      <c r="A204" s="17">
        <v>8124</v>
      </c>
      <c r="B204" s="20" t="s">
        <v>32</v>
      </c>
      <c r="C204" s="20">
        <v>2</v>
      </c>
      <c r="D204" s="20">
        <v>1.7</v>
      </c>
      <c r="E204">
        <v>0.79</v>
      </c>
      <c r="F204">
        <f t="shared" si="20"/>
        <v>0.91</v>
      </c>
      <c r="G204" s="18">
        <f t="shared" si="21"/>
        <v>0.535294117647059</v>
      </c>
      <c r="H204">
        <f t="shared" si="24"/>
        <v>1.82</v>
      </c>
    </row>
    <row r="205" spans="1:8">
      <c r="A205" s="17">
        <v>8125</v>
      </c>
      <c r="B205" s="20" t="s">
        <v>14</v>
      </c>
      <c r="C205" s="20">
        <v>2</v>
      </c>
      <c r="D205" s="20">
        <v>3.57</v>
      </c>
      <c r="E205" s="23">
        <v>2.04</v>
      </c>
      <c r="F205">
        <f t="shared" si="20"/>
        <v>1.53</v>
      </c>
      <c r="G205" s="18">
        <f t="shared" si="21"/>
        <v>0.428571428571429</v>
      </c>
      <c r="H205">
        <f t="shared" si="24"/>
        <v>3.06</v>
      </c>
    </row>
    <row r="206" spans="1:8">
      <c r="A206" s="17">
        <v>8130</v>
      </c>
      <c r="B206" s="20" t="s">
        <v>14</v>
      </c>
      <c r="C206" s="20">
        <v>2</v>
      </c>
      <c r="D206" s="20">
        <v>4.6</v>
      </c>
      <c r="E206">
        <v>2.74</v>
      </c>
      <c r="F206">
        <f>D206-E206</f>
        <v>1.86</v>
      </c>
      <c r="G206" s="18">
        <f>F206/D206</f>
        <v>0.404347826086956</v>
      </c>
      <c r="H206">
        <f t="shared" si="24"/>
        <v>3.72</v>
      </c>
    </row>
    <row r="207" spans="1:8">
      <c r="A207" s="17">
        <v>8126</v>
      </c>
      <c r="B207" s="20" t="s">
        <v>14</v>
      </c>
      <c r="C207" s="20">
        <v>2</v>
      </c>
      <c r="D207" s="20">
        <v>3.57</v>
      </c>
      <c r="E207">
        <v>2.2</v>
      </c>
      <c r="F207">
        <f>D207-E207</f>
        <v>1.37</v>
      </c>
      <c r="G207" s="18">
        <f>F207/D207</f>
        <v>0.38375350140056</v>
      </c>
      <c r="H207">
        <f t="shared" si="24"/>
        <v>2.74</v>
      </c>
    </row>
    <row r="208" spans="1:8">
      <c r="A208" s="19">
        <v>8128</v>
      </c>
      <c r="B208" s="20" t="s">
        <v>14</v>
      </c>
      <c r="C208" s="20">
        <v>2</v>
      </c>
      <c r="D208" s="20">
        <v>3.57</v>
      </c>
      <c r="E208">
        <v>2.29</v>
      </c>
      <c r="F208">
        <f t="shared" ref="F208:F209" si="25">D208-E208</f>
        <v>1.28</v>
      </c>
      <c r="G208" s="18">
        <f t="shared" ref="G208:G209" si="26">F208/D208</f>
        <v>0.358543417366947</v>
      </c>
      <c r="H208">
        <f t="shared" si="24"/>
        <v>2.56</v>
      </c>
    </row>
    <row r="209" spans="1:9">
      <c r="A209" s="19">
        <v>8128</v>
      </c>
      <c r="B209" s="20" t="s">
        <v>32</v>
      </c>
      <c r="C209" s="20">
        <v>2</v>
      </c>
      <c r="D209" s="20">
        <v>0.32</v>
      </c>
      <c r="E209">
        <v>0.2</v>
      </c>
      <c r="F209">
        <f t="shared" si="25"/>
        <v>0.12</v>
      </c>
      <c r="G209" s="18">
        <f t="shared" si="26"/>
        <v>0.375</v>
      </c>
      <c r="H209">
        <f t="shared" si="24"/>
        <v>0.24</v>
      </c>
    </row>
    <row r="210" spans="1:9">
      <c r="A210" s="19">
        <v>8128</v>
      </c>
      <c r="B210" s="20" t="s">
        <v>138</v>
      </c>
      <c r="C210" s="20">
        <v>2</v>
      </c>
      <c r="D210" s="20"/>
      <c r="E210">
        <v>0.03</v>
      </c>
    </row>
    <row r="211" spans="1:9">
      <c r="A211" s="17">
        <v>8131</v>
      </c>
      <c r="B211" s="20" t="s">
        <v>14</v>
      </c>
      <c r="C211" s="20">
        <v>2</v>
      </c>
      <c r="D211" s="20">
        <v>3.57</v>
      </c>
      <c r="E211">
        <v>2.13</v>
      </c>
      <c r="F211">
        <f>D211-E211</f>
        <v>1.44</v>
      </c>
      <c r="G211" s="18">
        <f>F211/D211</f>
        <v>0.403361344537815</v>
      </c>
      <c r="H211">
        <f t="shared" si="24"/>
        <v>2.88</v>
      </c>
    </row>
    <row r="212" spans="1:9">
      <c r="A212" s="17">
        <v>8132</v>
      </c>
      <c r="B212" s="20" t="s">
        <v>14</v>
      </c>
      <c r="C212" s="20">
        <v>2</v>
      </c>
      <c r="D212" s="20">
        <v>1.53</v>
      </c>
      <c r="E212">
        <v>0.9</v>
      </c>
      <c r="F212">
        <f>D212-E212</f>
        <v>0.63</v>
      </c>
      <c r="G212" s="18">
        <f>F212/D212</f>
        <v>0.411764705882353</v>
      </c>
      <c r="H212">
        <f t="shared" si="24"/>
        <v>1.26</v>
      </c>
      <c r="I212" s="20" t="s">
        <v>1010</v>
      </c>
    </row>
    <row r="213" spans="1:9">
      <c r="A213" s="17">
        <v>8132</v>
      </c>
      <c r="B213" s="20" t="s">
        <v>32</v>
      </c>
      <c r="C213" s="20">
        <v>2</v>
      </c>
      <c r="D213" s="20">
        <v>1.53</v>
      </c>
      <c r="E213">
        <v>0.83</v>
      </c>
      <c r="F213">
        <f>D213-E213</f>
        <v>0.7</v>
      </c>
      <c r="G213" s="18">
        <f>F213/D213</f>
        <v>0.457516339869281</v>
      </c>
      <c r="H213">
        <f t="shared" si="24"/>
        <v>1.4</v>
      </c>
    </row>
    <row r="214" spans="1:9">
      <c r="A214" s="19">
        <v>8134</v>
      </c>
      <c r="B214" s="20" t="s">
        <v>14</v>
      </c>
      <c r="C214" s="20">
        <v>2</v>
      </c>
      <c r="D214" s="20">
        <v>3.07</v>
      </c>
      <c r="E214">
        <v>1.73</v>
      </c>
      <c r="F214">
        <f t="shared" si="20"/>
        <v>1.34</v>
      </c>
      <c r="G214" s="18">
        <f t="shared" si="21"/>
        <v>0.436482084690554</v>
      </c>
      <c r="H214">
        <f t="shared" ref="H214:H225" si="27">F214*C214</f>
        <v>2.68</v>
      </c>
    </row>
    <row r="215" spans="1:9">
      <c r="A215" s="19">
        <v>8134</v>
      </c>
      <c r="B215" s="20" t="s">
        <v>32</v>
      </c>
      <c r="C215" s="20">
        <v>2</v>
      </c>
      <c r="D215" s="20">
        <v>1.25</v>
      </c>
      <c r="E215">
        <v>0.55</v>
      </c>
      <c r="F215">
        <f t="shared" si="20"/>
        <v>0.7</v>
      </c>
      <c r="G215" s="18">
        <f t="shared" si="21"/>
        <v>0.56</v>
      </c>
      <c r="H215">
        <f t="shared" si="27"/>
        <v>1.4</v>
      </c>
    </row>
    <row r="216" spans="1:9">
      <c r="A216" s="19">
        <v>8135</v>
      </c>
      <c r="B216" s="20" t="s">
        <v>14</v>
      </c>
      <c r="C216" s="20">
        <v>2</v>
      </c>
      <c r="D216" s="20">
        <v>1.75</v>
      </c>
      <c r="E216">
        <v>1.04</v>
      </c>
      <c r="F216">
        <f t="shared" ref="F216:F218" si="28">D216-E216</f>
        <v>0.71</v>
      </c>
      <c r="G216" s="18">
        <f t="shared" ref="G216:G218" si="29">F216/D216</f>
        <v>0.405714285714286</v>
      </c>
      <c r="H216">
        <f t="shared" si="27"/>
        <v>1.42</v>
      </c>
    </row>
    <row r="217" spans="1:9">
      <c r="A217" s="19">
        <v>8135</v>
      </c>
      <c r="B217" s="20" t="s">
        <v>32</v>
      </c>
      <c r="C217" s="20">
        <v>2</v>
      </c>
      <c r="D217" s="20">
        <v>1.75</v>
      </c>
      <c r="E217">
        <v>1.04</v>
      </c>
      <c r="F217">
        <f t="shared" si="28"/>
        <v>0.71</v>
      </c>
      <c r="G217" s="18">
        <f t="shared" si="29"/>
        <v>0.405714285714286</v>
      </c>
      <c r="H217">
        <f t="shared" si="27"/>
        <v>1.42</v>
      </c>
    </row>
    <row r="218" spans="1:9">
      <c r="A218" s="19">
        <v>8135</v>
      </c>
      <c r="B218" s="20" t="s">
        <v>303</v>
      </c>
      <c r="C218" s="20">
        <v>2</v>
      </c>
      <c r="D218" s="20">
        <v>1.36</v>
      </c>
      <c r="E218">
        <v>0.64</v>
      </c>
      <c r="F218">
        <f t="shared" si="28"/>
        <v>0.72</v>
      </c>
      <c r="G218" s="18">
        <f t="shared" si="29"/>
        <v>0.529411764705882</v>
      </c>
      <c r="H218">
        <f t="shared" si="27"/>
        <v>1.44</v>
      </c>
    </row>
    <row r="219" spans="1:9">
      <c r="A219" s="19">
        <v>8136</v>
      </c>
      <c r="B219" s="20" t="s">
        <v>14</v>
      </c>
      <c r="C219" s="20">
        <v>2</v>
      </c>
      <c r="D219" s="20">
        <v>2.45</v>
      </c>
      <c r="E219">
        <v>1.73</v>
      </c>
      <c r="F219">
        <f t="shared" si="20"/>
        <v>0.72</v>
      </c>
      <c r="G219" s="18">
        <f t="shared" si="21"/>
        <v>0.293877551020408</v>
      </c>
      <c r="H219">
        <f t="shared" si="27"/>
        <v>1.44</v>
      </c>
    </row>
    <row r="220" spans="1:9">
      <c r="A220" s="19">
        <v>8136</v>
      </c>
      <c r="B220" s="20" t="s">
        <v>303</v>
      </c>
      <c r="C220" s="20">
        <v>2</v>
      </c>
      <c r="D220" s="20">
        <v>1.36</v>
      </c>
      <c r="E220">
        <v>0.64</v>
      </c>
      <c r="F220">
        <f>D220-E220</f>
        <v>0.72</v>
      </c>
      <c r="G220" s="18">
        <f>F220/D220</f>
        <v>0.529411764705882</v>
      </c>
      <c r="H220">
        <f t="shared" ref="H220" si="30">F220*C220</f>
        <v>1.44</v>
      </c>
    </row>
    <row r="221" spans="1:9">
      <c r="A221" s="19">
        <v>8137</v>
      </c>
      <c r="B221" s="20" t="s">
        <v>14</v>
      </c>
      <c r="C221" s="20">
        <v>2</v>
      </c>
      <c r="D221" s="20">
        <v>2.45</v>
      </c>
      <c r="E221">
        <v>1.57</v>
      </c>
      <c r="F221">
        <f t="shared" si="20"/>
        <v>0.88</v>
      </c>
      <c r="G221" s="18">
        <f t="shared" si="21"/>
        <v>0.359183673469388</v>
      </c>
      <c r="H221">
        <f t="shared" si="27"/>
        <v>1.76</v>
      </c>
    </row>
    <row r="222" spans="1:9">
      <c r="A222" s="19">
        <v>8137</v>
      </c>
      <c r="B222" s="20" t="s">
        <v>32</v>
      </c>
      <c r="C222" s="20">
        <v>2</v>
      </c>
      <c r="D222" s="20">
        <v>2.45</v>
      </c>
      <c r="E222">
        <v>0.99</v>
      </c>
      <c r="F222">
        <f t="shared" si="20"/>
        <v>1.46</v>
      </c>
      <c r="G222" s="18">
        <f t="shared" si="21"/>
        <v>0.595918367346939</v>
      </c>
      <c r="H222">
        <f t="shared" si="27"/>
        <v>2.92</v>
      </c>
    </row>
    <row r="223" spans="1:9">
      <c r="A223" s="19">
        <v>8137</v>
      </c>
      <c r="B223" s="20" t="s">
        <v>160</v>
      </c>
      <c r="C223" s="20">
        <v>2</v>
      </c>
      <c r="D223" s="20">
        <v>0.495</v>
      </c>
      <c r="E223">
        <v>0.19</v>
      </c>
      <c r="F223">
        <f t="shared" si="20"/>
        <v>0.305</v>
      </c>
      <c r="G223" s="18">
        <f t="shared" si="21"/>
        <v>0.616161616161616</v>
      </c>
      <c r="H223">
        <f t="shared" si="27"/>
        <v>0.61</v>
      </c>
    </row>
    <row r="224" spans="1:9">
      <c r="A224" s="19">
        <v>8137</v>
      </c>
      <c r="B224" s="20" t="s">
        <v>160</v>
      </c>
      <c r="C224" s="20">
        <v>2</v>
      </c>
      <c r="D224" s="20">
        <v>0.495</v>
      </c>
      <c r="E224">
        <v>0.17</v>
      </c>
      <c r="F224">
        <f t="shared" si="20"/>
        <v>0.325</v>
      </c>
      <c r="G224" s="18">
        <f t="shared" si="21"/>
        <v>0.656565656565656</v>
      </c>
      <c r="H224">
        <f t="shared" si="27"/>
        <v>0.65</v>
      </c>
    </row>
    <row r="225" spans="1:8">
      <c r="A225" s="19">
        <v>8137</v>
      </c>
      <c r="B225" s="20" t="s">
        <v>1008</v>
      </c>
      <c r="C225" s="20">
        <v>2</v>
      </c>
      <c r="D225" s="20">
        <v>0.44</v>
      </c>
      <c r="E225">
        <v>0.33</v>
      </c>
      <c r="F225">
        <f t="shared" si="20"/>
        <v>0.11</v>
      </c>
      <c r="G225" s="18">
        <f t="shared" si="21"/>
        <v>0.25</v>
      </c>
      <c r="H225">
        <f t="shared" si="27"/>
        <v>0.22</v>
      </c>
    </row>
    <row r="226" spans="1:8">
      <c r="A226" s="19">
        <v>8137</v>
      </c>
      <c r="B226" s="20" t="s">
        <v>1009</v>
      </c>
      <c r="C226" s="20"/>
      <c r="D226" s="20"/>
      <c r="H226">
        <v>0.33</v>
      </c>
    </row>
    <row r="227" spans="1:8">
      <c r="A227" s="19">
        <v>8137</v>
      </c>
      <c r="B227" s="20" t="s">
        <v>1011</v>
      </c>
      <c r="C227" s="20"/>
      <c r="D227" s="20"/>
      <c r="H227">
        <v>0.33</v>
      </c>
    </row>
    <row r="228" spans="1:8">
      <c r="A228" s="19">
        <v>8137</v>
      </c>
      <c r="B228" s="20" t="s">
        <v>1012</v>
      </c>
      <c r="C228" s="20"/>
      <c r="D228" s="20"/>
      <c r="H228">
        <v>0.33</v>
      </c>
    </row>
    <row r="229" spans="1:8">
      <c r="A229" s="19">
        <v>8138</v>
      </c>
      <c r="B229" s="20" t="s">
        <v>14</v>
      </c>
      <c r="C229" s="20">
        <v>2</v>
      </c>
      <c r="D229" s="20">
        <v>2.45</v>
      </c>
      <c r="E229">
        <v>1.5</v>
      </c>
      <c r="F229">
        <f t="shared" si="20"/>
        <v>0.95</v>
      </c>
      <c r="G229" s="18">
        <f t="shared" si="21"/>
        <v>0.387755102040816</v>
      </c>
      <c r="H229">
        <f t="shared" ref="H229:H276" si="31">F229*C229</f>
        <v>1.9</v>
      </c>
    </row>
    <row r="230" spans="1:8">
      <c r="A230" s="19">
        <v>8138</v>
      </c>
      <c r="B230" s="20" t="s">
        <v>32</v>
      </c>
      <c r="C230" s="20">
        <v>2</v>
      </c>
      <c r="D230" s="20">
        <v>1.63</v>
      </c>
      <c r="E230">
        <v>0.83</v>
      </c>
      <c r="F230">
        <f t="shared" si="20"/>
        <v>0.8</v>
      </c>
      <c r="G230" s="18">
        <f t="shared" si="21"/>
        <v>0.49079754601227</v>
      </c>
      <c r="H230">
        <f t="shared" si="31"/>
        <v>1.6</v>
      </c>
    </row>
    <row r="231" spans="1:8">
      <c r="A231" s="19">
        <v>8138</v>
      </c>
      <c r="B231" s="20" t="s">
        <v>160</v>
      </c>
      <c r="C231" s="20">
        <v>2</v>
      </c>
      <c r="D231" s="20">
        <v>0.38</v>
      </c>
      <c r="E231">
        <v>0.21</v>
      </c>
      <c r="F231">
        <f t="shared" si="20"/>
        <v>0.17</v>
      </c>
      <c r="G231" s="18">
        <f t="shared" si="21"/>
        <v>0.447368421052632</v>
      </c>
      <c r="H231">
        <f t="shared" si="31"/>
        <v>0.34</v>
      </c>
    </row>
    <row r="232" spans="1:8">
      <c r="A232" s="19">
        <v>8142</v>
      </c>
      <c r="B232" s="20" t="s">
        <v>14</v>
      </c>
      <c r="C232" s="20">
        <v>2</v>
      </c>
      <c r="D232" s="20">
        <v>2.58</v>
      </c>
      <c r="E232">
        <v>1.62</v>
      </c>
      <c r="F232">
        <f t="shared" si="20"/>
        <v>0.96</v>
      </c>
      <c r="G232" s="18">
        <f t="shared" si="21"/>
        <v>0.372093023255814</v>
      </c>
      <c r="H232">
        <f t="shared" si="31"/>
        <v>1.92</v>
      </c>
    </row>
    <row r="233" spans="1:8">
      <c r="A233" s="19">
        <v>8142</v>
      </c>
      <c r="B233" s="20" t="s">
        <v>32</v>
      </c>
      <c r="C233" s="20">
        <v>2</v>
      </c>
      <c r="D233" s="20">
        <v>2.22</v>
      </c>
      <c r="E233">
        <v>1.34</v>
      </c>
      <c r="F233">
        <f t="shared" si="20"/>
        <v>0.88</v>
      </c>
      <c r="G233" s="18">
        <f t="shared" si="21"/>
        <v>0.396396396396396</v>
      </c>
      <c r="H233">
        <f t="shared" si="31"/>
        <v>1.76</v>
      </c>
    </row>
    <row r="234" spans="1:8">
      <c r="A234" s="19">
        <v>8144</v>
      </c>
      <c r="B234" s="20" t="s">
        <v>14</v>
      </c>
      <c r="C234" s="20">
        <v>2</v>
      </c>
      <c r="D234" s="20">
        <v>4.6</v>
      </c>
      <c r="E234">
        <v>2.65</v>
      </c>
      <c r="F234">
        <f t="shared" si="20"/>
        <v>1.95</v>
      </c>
      <c r="G234" s="18">
        <f t="shared" si="21"/>
        <v>0.423913043478261</v>
      </c>
      <c r="H234">
        <f t="shared" si="31"/>
        <v>3.9</v>
      </c>
    </row>
    <row r="235" spans="1:8">
      <c r="A235" s="19">
        <v>8145</v>
      </c>
      <c r="B235" s="20" t="s">
        <v>14</v>
      </c>
      <c r="C235" s="20">
        <v>2</v>
      </c>
      <c r="D235" s="20">
        <v>2.11</v>
      </c>
      <c r="E235">
        <v>1.25</v>
      </c>
      <c r="F235">
        <f t="shared" si="20"/>
        <v>0.86</v>
      </c>
      <c r="G235" s="18">
        <f t="shared" si="21"/>
        <v>0.407582938388626</v>
      </c>
      <c r="H235">
        <f t="shared" si="31"/>
        <v>1.72</v>
      </c>
    </row>
    <row r="236" spans="1:8">
      <c r="A236" s="19">
        <v>8145</v>
      </c>
      <c r="B236" s="20" t="s">
        <v>32</v>
      </c>
      <c r="C236" s="20">
        <v>2</v>
      </c>
      <c r="D236" s="20">
        <v>2.11</v>
      </c>
      <c r="E236">
        <v>1.17</v>
      </c>
      <c r="F236">
        <f t="shared" si="20"/>
        <v>0.94</v>
      </c>
      <c r="G236" s="18">
        <f t="shared" si="21"/>
        <v>0.445497630331754</v>
      </c>
      <c r="H236">
        <f t="shared" si="31"/>
        <v>1.88</v>
      </c>
    </row>
    <row r="237" spans="1:8">
      <c r="A237" s="19">
        <v>8147</v>
      </c>
      <c r="B237" s="20" t="s">
        <v>14</v>
      </c>
      <c r="C237" s="20">
        <v>2</v>
      </c>
      <c r="D237" s="20">
        <v>3.07</v>
      </c>
      <c r="E237">
        <v>1.6</v>
      </c>
      <c r="F237">
        <f t="shared" si="20"/>
        <v>1.47</v>
      </c>
      <c r="G237" s="18">
        <f t="shared" si="21"/>
        <v>0.478827361563518</v>
      </c>
      <c r="H237">
        <f t="shared" si="31"/>
        <v>2.94</v>
      </c>
    </row>
    <row r="238" spans="1:8">
      <c r="A238" s="19">
        <v>8147</v>
      </c>
      <c r="B238" s="20" t="s">
        <v>32</v>
      </c>
      <c r="C238" s="20">
        <v>2</v>
      </c>
      <c r="D238" s="20">
        <v>1.75</v>
      </c>
      <c r="E238">
        <v>0.78</v>
      </c>
      <c r="F238">
        <f t="shared" si="20"/>
        <v>0.97</v>
      </c>
      <c r="G238" s="18">
        <f t="shared" si="21"/>
        <v>0.554285714285714</v>
      </c>
      <c r="H238">
        <f t="shared" si="31"/>
        <v>1.94</v>
      </c>
    </row>
    <row r="239" spans="1:8">
      <c r="A239" s="19">
        <v>8148</v>
      </c>
      <c r="B239" s="20" t="s">
        <v>14</v>
      </c>
      <c r="C239" s="20">
        <v>2</v>
      </c>
      <c r="D239" s="20">
        <v>3.5</v>
      </c>
      <c r="E239">
        <v>2.5</v>
      </c>
      <c r="F239">
        <f t="shared" si="20"/>
        <v>1</v>
      </c>
      <c r="G239" s="18">
        <f t="shared" si="21"/>
        <v>0.285714285714286</v>
      </c>
      <c r="H239">
        <f t="shared" si="31"/>
        <v>2</v>
      </c>
    </row>
    <row r="240" spans="1:8">
      <c r="A240" s="19">
        <v>8149</v>
      </c>
      <c r="B240" s="20" t="s">
        <v>14</v>
      </c>
      <c r="C240" s="20">
        <v>2</v>
      </c>
      <c r="D240" s="20">
        <v>2.7</v>
      </c>
      <c r="E240">
        <v>1.78</v>
      </c>
      <c r="F240">
        <f t="shared" si="20"/>
        <v>0.92</v>
      </c>
      <c r="G240" s="18">
        <f t="shared" si="21"/>
        <v>0.340740740740741</v>
      </c>
      <c r="H240">
        <f t="shared" si="31"/>
        <v>1.84</v>
      </c>
    </row>
    <row r="241" spans="1:8">
      <c r="A241" s="19">
        <v>8149</v>
      </c>
      <c r="B241" s="20" t="s">
        <v>32</v>
      </c>
      <c r="C241" s="20">
        <v>2</v>
      </c>
      <c r="D241" s="20">
        <v>1.46</v>
      </c>
      <c r="E241">
        <v>0.73</v>
      </c>
      <c r="F241">
        <f t="shared" si="20"/>
        <v>0.73</v>
      </c>
      <c r="G241" s="18">
        <f t="shared" si="21"/>
        <v>0.5</v>
      </c>
      <c r="H241">
        <f t="shared" si="31"/>
        <v>1.46</v>
      </c>
    </row>
    <row r="242" spans="1:8">
      <c r="A242" s="19">
        <v>8150</v>
      </c>
      <c r="B242" s="20" t="s">
        <v>14</v>
      </c>
      <c r="C242" s="20">
        <v>2</v>
      </c>
      <c r="D242" s="20">
        <v>4.95</v>
      </c>
      <c r="E242">
        <v>2.52</v>
      </c>
      <c r="F242">
        <f t="shared" si="20"/>
        <v>2.43</v>
      </c>
      <c r="G242" s="18">
        <f t="shared" si="21"/>
        <v>0.490909090909091</v>
      </c>
      <c r="H242">
        <f t="shared" si="31"/>
        <v>4.86</v>
      </c>
    </row>
    <row r="243" spans="1:8">
      <c r="A243" s="19">
        <v>8151</v>
      </c>
      <c r="B243" s="20" t="s">
        <v>14</v>
      </c>
      <c r="C243" s="20">
        <v>2</v>
      </c>
      <c r="D243" s="20">
        <v>3.57</v>
      </c>
      <c r="E243">
        <v>1.81</v>
      </c>
      <c r="F243">
        <f t="shared" si="20"/>
        <v>1.76</v>
      </c>
      <c r="G243" s="18">
        <f t="shared" si="21"/>
        <v>0.492997198879552</v>
      </c>
      <c r="H243">
        <f t="shared" si="31"/>
        <v>3.52</v>
      </c>
    </row>
    <row r="244" spans="1:8">
      <c r="A244" s="19">
        <v>8151</v>
      </c>
      <c r="B244" s="20" t="s">
        <v>32</v>
      </c>
      <c r="C244" s="20">
        <v>2</v>
      </c>
      <c r="D244" s="20">
        <v>1.17</v>
      </c>
      <c r="E244">
        <v>0.51</v>
      </c>
      <c r="F244">
        <f t="shared" si="20"/>
        <v>0.66</v>
      </c>
      <c r="G244" s="18">
        <f t="shared" si="21"/>
        <v>0.564102564102564</v>
      </c>
      <c r="H244">
        <f t="shared" si="31"/>
        <v>1.32</v>
      </c>
    </row>
    <row r="245" spans="1:8">
      <c r="A245" s="17">
        <v>8155</v>
      </c>
      <c r="B245" s="20" t="s">
        <v>14</v>
      </c>
      <c r="C245" s="20">
        <v>2</v>
      </c>
      <c r="D245" s="20">
        <v>3.06</v>
      </c>
      <c r="E245">
        <v>1.58</v>
      </c>
      <c r="F245">
        <f t="shared" ref="F245:F252" si="32">D245-E245</f>
        <v>1.48</v>
      </c>
      <c r="G245" s="18">
        <f t="shared" ref="G245:G252" si="33">F245/D245</f>
        <v>0.483660130718954</v>
      </c>
      <c r="H245">
        <f t="shared" si="31"/>
        <v>2.96</v>
      </c>
    </row>
    <row r="246" spans="1:8">
      <c r="A246" s="17">
        <v>8155</v>
      </c>
      <c r="B246" s="20" t="s">
        <v>32</v>
      </c>
      <c r="C246" s="20">
        <v>2</v>
      </c>
      <c r="D246" s="20">
        <v>3.06</v>
      </c>
      <c r="E246">
        <v>1.51</v>
      </c>
      <c r="F246">
        <f t="shared" si="32"/>
        <v>1.55</v>
      </c>
      <c r="G246" s="18">
        <f t="shared" si="33"/>
        <v>0.506535947712418</v>
      </c>
      <c r="H246">
        <f t="shared" si="31"/>
        <v>3.1</v>
      </c>
    </row>
    <row r="247" spans="1:8">
      <c r="A247" s="17">
        <v>8156</v>
      </c>
      <c r="B247" s="20" t="s">
        <v>14</v>
      </c>
      <c r="C247" s="20">
        <v>2</v>
      </c>
      <c r="D247" s="20">
        <v>3.06</v>
      </c>
      <c r="E247">
        <v>1.59</v>
      </c>
      <c r="F247">
        <f t="shared" si="32"/>
        <v>1.47</v>
      </c>
      <c r="G247" s="18">
        <f t="shared" si="33"/>
        <v>0.480392156862745</v>
      </c>
      <c r="H247">
        <f t="shared" si="31"/>
        <v>2.94</v>
      </c>
    </row>
    <row r="248" spans="1:8">
      <c r="A248" s="17">
        <v>8156</v>
      </c>
      <c r="B248" s="20" t="s">
        <v>32</v>
      </c>
      <c r="C248" s="20">
        <v>2</v>
      </c>
      <c r="D248" s="20">
        <v>3.06</v>
      </c>
      <c r="E248">
        <v>1.3</v>
      </c>
      <c r="F248">
        <f t="shared" si="32"/>
        <v>1.76</v>
      </c>
      <c r="G248" s="18">
        <f t="shared" si="33"/>
        <v>0.57516339869281</v>
      </c>
      <c r="H248">
        <f t="shared" si="31"/>
        <v>3.52</v>
      </c>
    </row>
    <row r="249" spans="1:8">
      <c r="A249" s="17">
        <v>8159</v>
      </c>
      <c r="B249" s="20" t="s">
        <v>14</v>
      </c>
      <c r="C249" s="20">
        <v>2</v>
      </c>
      <c r="D249" s="20">
        <v>3.06</v>
      </c>
      <c r="E249" s="20">
        <v>1.62</v>
      </c>
      <c r="F249">
        <f t="shared" si="32"/>
        <v>1.44</v>
      </c>
      <c r="G249" s="18">
        <f t="shared" si="33"/>
        <v>0.470588235294118</v>
      </c>
      <c r="H249">
        <f t="shared" si="31"/>
        <v>2.88</v>
      </c>
    </row>
    <row r="250" spans="1:8">
      <c r="A250" s="17">
        <v>8159</v>
      </c>
      <c r="B250" s="20" t="s">
        <v>32</v>
      </c>
      <c r="C250" s="20">
        <v>2</v>
      </c>
      <c r="D250" s="20">
        <v>3.06</v>
      </c>
      <c r="E250" s="20">
        <v>1.25</v>
      </c>
      <c r="F250">
        <f t="shared" si="32"/>
        <v>1.81</v>
      </c>
      <c r="G250" s="18">
        <f t="shared" si="33"/>
        <v>0.591503267973856</v>
      </c>
      <c r="H250">
        <f t="shared" si="31"/>
        <v>3.62</v>
      </c>
    </row>
    <row r="251" spans="1:8">
      <c r="A251" s="17">
        <v>8160</v>
      </c>
      <c r="B251" s="20" t="s">
        <v>14</v>
      </c>
      <c r="C251" s="20">
        <v>2</v>
      </c>
      <c r="D251" s="20">
        <v>3.06</v>
      </c>
      <c r="E251" s="20">
        <v>1.68</v>
      </c>
      <c r="F251">
        <f t="shared" si="32"/>
        <v>1.38</v>
      </c>
      <c r="G251" s="18">
        <f t="shared" si="33"/>
        <v>0.450980392156863</v>
      </c>
      <c r="H251">
        <f t="shared" si="31"/>
        <v>2.76</v>
      </c>
    </row>
    <row r="252" spans="1:8">
      <c r="A252" s="17">
        <v>8160</v>
      </c>
      <c r="B252" s="20" t="s">
        <v>32</v>
      </c>
      <c r="C252" s="20">
        <v>2</v>
      </c>
      <c r="D252" s="20">
        <v>3.06</v>
      </c>
      <c r="E252" s="20">
        <v>1.47</v>
      </c>
      <c r="F252">
        <f t="shared" si="32"/>
        <v>1.59</v>
      </c>
      <c r="G252" s="18">
        <f t="shared" si="33"/>
        <v>0.519607843137255</v>
      </c>
      <c r="H252">
        <f t="shared" si="31"/>
        <v>3.18</v>
      </c>
    </row>
    <row r="253" spans="1:8">
      <c r="A253" s="19">
        <v>8162</v>
      </c>
      <c r="B253" s="20" t="s">
        <v>14</v>
      </c>
      <c r="C253" s="20">
        <v>2</v>
      </c>
      <c r="D253" s="20">
        <v>3.06</v>
      </c>
      <c r="E253">
        <v>1.53</v>
      </c>
      <c r="F253">
        <f t="shared" si="20"/>
        <v>1.53</v>
      </c>
      <c r="G253" s="18">
        <f t="shared" si="21"/>
        <v>0.5</v>
      </c>
      <c r="H253">
        <f t="shared" si="31"/>
        <v>3.06</v>
      </c>
    </row>
    <row r="254" spans="1:8">
      <c r="A254" s="19">
        <v>8162</v>
      </c>
      <c r="B254" s="20" t="s">
        <v>32</v>
      </c>
      <c r="C254" s="20">
        <v>2</v>
      </c>
      <c r="D254" s="20">
        <v>3.06</v>
      </c>
      <c r="E254">
        <v>1.51</v>
      </c>
      <c r="F254">
        <f t="shared" si="20"/>
        <v>1.55</v>
      </c>
      <c r="G254" s="18">
        <f t="shared" si="21"/>
        <v>0.506535947712418</v>
      </c>
      <c r="H254">
        <f t="shared" si="31"/>
        <v>3.1</v>
      </c>
    </row>
    <row r="255" spans="1:8">
      <c r="A255" s="19">
        <v>8170</v>
      </c>
      <c r="B255" s="20"/>
      <c r="C255" s="20"/>
      <c r="D255" s="20"/>
    </row>
    <row r="256" spans="1:8">
      <c r="A256" s="19">
        <v>8171</v>
      </c>
      <c r="B256" s="20"/>
      <c r="C256" s="20"/>
      <c r="D256" s="20"/>
    </row>
    <row r="257" spans="1:8">
      <c r="A257" s="19">
        <v>8172</v>
      </c>
      <c r="B257" s="20"/>
      <c r="C257" s="20"/>
      <c r="D257" s="20"/>
    </row>
    <row r="258" spans="1:8">
      <c r="A258" s="19">
        <v>8173</v>
      </c>
      <c r="B258" s="20"/>
      <c r="C258" s="20"/>
      <c r="D258" s="20"/>
    </row>
    <row r="259" spans="1:8">
      <c r="A259" s="19">
        <v>8174</v>
      </c>
      <c r="B259" s="20" t="s">
        <v>14</v>
      </c>
      <c r="C259" s="20">
        <v>2</v>
      </c>
      <c r="D259" s="20">
        <v>2.65</v>
      </c>
      <c r="E259">
        <v>1.6</v>
      </c>
      <c r="F259">
        <f t="shared" ref="F259:F269" si="34">D259-E259</f>
        <v>1.05</v>
      </c>
      <c r="G259" s="18">
        <f t="shared" ref="G259:G265" si="35">F259/D259</f>
        <v>0.39622641509434</v>
      </c>
      <c r="H259">
        <f t="shared" ref="H259:H262" si="36">F259*C259</f>
        <v>2.1</v>
      </c>
    </row>
    <row r="260" spans="1:8">
      <c r="A260" s="19">
        <v>8174</v>
      </c>
      <c r="B260" s="20" t="s">
        <v>32</v>
      </c>
      <c r="C260" s="20">
        <v>2</v>
      </c>
      <c r="D260" s="20">
        <v>1.93</v>
      </c>
      <c r="E260">
        <v>1.05</v>
      </c>
      <c r="F260">
        <f t="shared" si="34"/>
        <v>0.88</v>
      </c>
      <c r="G260" s="18">
        <f t="shared" si="35"/>
        <v>0.455958549222798</v>
      </c>
      <c r="H260">
        <f t="shared" si="36"/>
        <v>1.76</v>
      </c>
    </row>
    <row r="261" spans="1:8">
      <c r="A261" s="19">
        <v>8175</v>
      </c>
      <c r="B261" s="20" t="s">
        <v>14</v>
      </c>
      <c r="C261" s="20">
        <v>2</v>
      </c>
      <c r="D261" s="20">
        <v>3.6</v>
      </c>
      <c r="E261">
        <v>2.17</v>
      </c>
      <c r="F261">
        <f t="shared" si="34"/>
        <v>1.43</v>
      </c>
      <c r="G261" s="18">
        <f t="shared" si="35"/>
        <v>0.397222222222222</v>
      </c>
      <c r="H261">
        <f t="shared" si="36"/>
        <v>2.86</v>
      </c>
    </row>
    <row r="262" spans="1:8">
      <c r="A262" s="19">
        <v>8175</v>
      </c>
      <c r="B262" s="20" t="s">
        <v>32</v>
      </c>
      <c r="C262" s="20">
        <v>2</v>
      </c>
      <c r="D262" s="20">
        <v>0.9</v>
      </c>
      <c r="E262">
        <v>0.54</v>
      </c>
      <c r="F262">
        <f t="shared" si="34"/>
        <v>0.36</v>
      </c>
      <c r="G262" s="18">
        <f t="shared" si="35"/>
        <v>0.4</v>
      </c>
      <c r="H262">
        <f t="shared" si="36"/>
        <v>0.72</v>
      </c>
    </row>
    <row r="263" spans="1:8">
      <c r="A263" s="19">
        <v>8175</v>
      </c>
      <c r="B263" s="20" t="s">
        <v>779</v>
      </c>
      <c r="C263" s="20">
        <v>2</v>
      </c>
      <c r="D263" s="20">
        <v>0.06</v>
      </c>
      <c r="E263">
        <v>0.03</v>
      </c>
      <c r="F263">
        <f t="shared" si="34"/>
        <v>0.03</v>
      </c>
      <c r="G263" s="18">
        <f t="shared" si="35"/>
        <v>0.5</v>
      </c>
    </row>
    <row r="264" spans="1:8">
      <c r="A264" s="19">
        <v>8175</v>
      </c>
      <c r="B264" s="20" t="s">
        <v>1013</v>
      </c>
      <c r="C264" s="20">
        <v>2</v>
      </c>
      <c r="D264" s="20">
        <v>0.47</v>
      </c>
      <c r="E264">
        <v>0.15</v>
      </c>
      <c r="F264">
        <f t="shared" si="34"/>
        <v>0.32</v>
      </c>
      <c r="G264" s="18">
        <f t="shared" si="35"/>
        <v>0.680851063829787</v>
      </c>
    </row>
    <row r="265" spans="1:8">
      <c r="A265" s="19">
        <v>8175</v>
      </c>
      <c r="B265" s="20" t="s">
        <v>1014</v>
      </c>
      <c r="C265" s="20">
        <v>2</v>
      </c>
      <c r="D265" s="20">
        <v>0.2</v>
      </c>
      <c r="E265">
        <v>0.08</v>
      </c>
      <c r="F265">
        <f t="shared" si="34"/>
        <v>0.12</v>
      </c>
      <c r="G265" s="18">
        <f t="shared" si="35"/>
        <v>0.6</v>
      </c>
    </row>
    <row r="266" spans="1:8">
      <c r="A266" s="19">
        <v>8176</v>
      </c>
      <c r="B266" s="20" t="s">
        <v>14</v>
      </c>
      <c r="C266" s="20">
        <v>2</v>
      </c>
      <c r="D266" s="20">
        <v>2.65</v>
      </c>
      <c r="E266">
        <v>1.6</v>
      </c>
      <c r="F266">
        <f t="shared" si="34"/>
        <v>1.05</v>
      </c>
      <c r="G266" s="18">
        <f t="shared" ref="G266:G269" si="37">F266/D266</f>
        <v>0.39622641509434</v>
      </c>
      <c r="H266">
        <f t="shared" ref="H266:H269" si="38">F266*C266</f>
        <v>2.1</v>
      </c>
    </row>
    <row r="267" spans="1:8">
      <c r="A267" s="19">
        <v>8176</v>
      </c>
      <c r="B267" s="20" t="s">
        <v>32</v>
      </c>
      <c r="C267" s="20">
        <v>2</v>
      </c>
      <c r="D267" s="20">
        <v>2.32</v>
      </c>
      <c r="E267">
        <v>1.26</v>
      </c>
      <c r="F267">
        <f t="shared" si="34"/>
        <v>1.06</v>
      </c>
      <c r="G267" s="18">
        <f t="shared" si="37"/>
        <v>0.456896551724138</v>
      </c>
      <c r="H267">
        <f t="shared" si="38"/>
        <v>2.12</v>
      </c>
    </row>
    <row r="268" spans="1:8">
      <c r="A268" s="19">
        <v>8177</v>
      </c>
      <c r="B268" s="20" t="s">
        <v>14</v>
      </c>
      <c r="C268" s="20">
        <v>2</v>
      </c>
      <c r="D268" s="20">
        <v>2.65</v>
      </c>
      <c r="E268">
        <v>1.6</v>
      </c>
      <c r="F268">
        <f t="shared" si="34"/>
        <v>1.05</v>
      </c>
      <c r="G268" s="18">
        <f t="shared" si="37"/>
        <v>0.39622641509434</v>
      </c>
      <c r="H268">
        <f t="shared" si="38"/>
        <v>2.1</v>
      </c>
    </row>
    <row r="269" spans="1:8">
      <c r="A269" s="19">
        <v>8177</v>
      </c>
      <c r="B269" s="20" t="s">
        <v>32</v>
      </c>
      <c r="C269" s="20">
        <v>2</v>
      </c>
      <c r="D269" s="20">
        <v>2.32</v>
      </c>
      <c r="E269">
        <v>1.23</v>
      </c>
      <c r="F269">
        <f t="shared" si="34"/>
        <v>1.09</v>
      </c>
      <c r="G269" s="18">
        <f t="shared" si="37"/>
        <v>0.469827586206897</v>
      </c>
      <c r="H269">
        <f t="shared" si="38"/>
        <v>2.18</v>
      </c>
    </row>
    <row r="270" spans="1:8">
      <c r="A270" s="19">
        <v>8178</v>
      </c>
      <c r="B270" s="20" t="s">
        <v>14</v>
      </c>
      <c r="C270" s="20">
        <v>2</v>
      </c>
      <c r="D270" s="20">
        <v>2.45</v>
      </c>
      <c r="E270" s="20">
        <v>1.29</v>
      </c>
      <c r="F270">
        <f t="shared" si="20"/>
        <v>1.16</v>
      </c>
      <c r="G270" s="18">
        <f t="shared" si="21"/>
        <v>0.473469387755102</v>
      </c>
      <c r="H270">
        <f t="shared" si="31"/>
        <v>2.32</v>
      </c>
    </row>
    <row r="271" spans="1:8">
      <c r="A271" s="19">
        <v>8178</v>
      </c>
      <c r="B271" s="20" t="s">
        <v>32</v>
      </c>
      <c r="C271" s="20">
        <v>2</v>
      </c>
      <c r="D271" s="20">
        <v>1.64</v>
      </c>
      <c r="E271" s="20">
        <v>1.06</v>
      </c>
      <c r="F271">
        <f t="shared" si="20"/>
        <v>0.58</v>
      </c>
      <c r="G271" s="18">
        <f t="shared" si="21"/>
        <v>0.353658536585366</v>
      </c>
      <c r="H271">
        <f t="shared" si="31"/>
        <v>1.16</v>
      </c>
    </row>
    <row r="272" spans="1:8">
      <c r="A272" s="19">
        <v>8178</v>
      </c>
      <c r="B272" s="20" t="s">
        <v>346</v>
      </c>
      <c r="C272" s="20">
        <v>2</v>
      </c>
      <c r="D272" s="20">
        <v>0.19</v>
      </c>
      <c r="E272" s="20">
        <v>0.11</v>
      </c>
      <c r="F272">
        <f t="shared" si="20"/>
        <v>0.08</v>
      </c>
      <c r="G272" s="18">
        <f t="shared" si="21"/>
        <v>0.421052631578947</v>
      </c>
      <c r="H272">
        <f t="shared" si="31"/>
        <v>0.16</v>
      </c>
    </row>
    <row r="273" spans="1:8">
      <c r="A273" s="19">
        <v>8178</v>
      </c>
      <c r="B273" s="20" t="s">
        <v>616</v>
      </c>
      <c r="C273" s="20">
        <v>2</v>
      </c>
      <c r="D273" s="20">
        <v>0.52</v>
      </c>
      <c r="E273" s="20">
        <v>0.32</v>
      </c>
      <c r="F273">
        <f t="shared" si="20"/>
        <v>0.2</v>
      </c>
      <c r="G273" s="18">
        <f t="shared" si="21"/>
        <v>0.384615384615385</v>
      </c>
      <c r="H273">
        <f t="shared" si="31"/>
        <v>0.4</v>
      </c>
    </row>
    <row r="274" spans="1:8">
      <c r="A274" s="19">
        <v>8178</v>
      </c>
      <c r="B274" s="20" t="s">
        <v>619</v>
      </c>
      <c r="C274" s="20">
        <v>2</v>
      </c>
      <c r="D274" s="20">
        <v>0.05</v>
      </c>
      <c r="E274" s="20">
        <v>0.02</v>
      </c>
      <c r="F274">
        <f t="shared" si="20"/>
        <v>0.03</v>
      </c>
      <c r="G274" s="18">
        <f t="shared" si="21"/>
        <v>0.6</v>
      </c>
      <c r="H274">
        <f t="shared" si="31"/>
        <v>0.06</v>
      </c>
    </row>
    <row r="275" spans="1:8">
      <c r="A275" s="19">
        <v>8178</v>
      </c>
      <c r="B275" s="20" t="s">
        <v>303</v>
      </c>
      <c r="C275" s="20">
        <v>2</v>
      </c>
      <c r="D275" s="20"/>
      <c r="E275" s="20"/>
    </row>
    <row r="276" spans="1:8">
      <c r="A276" s="19">
        <v>8179</v>
      </c>
      <c r="B276" s="20" t="s">
        <v>14</v>
      </c>
      <c r="C276" s="20">
        <v>2</v>
      </c>
      <c r="D276" s="20">
        <v>4.08</v>
      </c>
      <c r="E276">
        <v>2.68</v>
      </c>
      <c r="F276">
        <f t="shared" si="20"/>
        <v>1.4</v>
      </c>
      <c r="G276" s="18">
        <f t="shared" si="21"/>
        <v>0.343137254901961</v>
      </c>
      <c r="H276">
        <f t="shared" si="31"/>
        <v>2.8</v>
      </c>
    </row>
    <row r="277" spans="1:8">
      <c r="A277" s="17">
        <v>8181</v>
      </c>
      <c r="B277" s="20" t="s">
        <v>14</v>
      </c>
      <c r="C277" s="20">
        <v>2</v>
      </c>
      <c r="D277" s="20">
        <v>2.19</v>
      </c>
      <c r="E277">
        <v>1.22</v>
      </c>
      <c r="F277">
        <f t="shared" si="20"/>
        <v>0.97</v>
      </c>
      <c r="G277" s="18">
        <f t="shared" si="21"/>
        <v>0.442922374429224</v>
      </c>
      <c r="H277">
        <f t="shared" ref="H277:H304" si="39">F277*C277</f>
        <v>1.94</v>
      </c>
    </row>
    <row r="278" spans="1:8">
      <c r="A278" s="17">
        <v>8181</v>
      </c>
      <c r="B278" s="20" t="s">
        <v>32</v>
      </c>
      <c r="C278" s="20">
        <v>2</v>
      </c>
      <c r="D278" s="20">
        <v>1.1</v>
      </c>
      <c r="E278">
        <v>0.57</v>
      </c>
      <c r="F278">
        <f t="shared" si="20"/>
        <v>0.53</v>
      </c>
      <c r="G278" s="18">
        <f t="shared" si="21"/>
        <v>0.481818181818182</v>
      </c>
      <c r="H278">
        <f t="shared" si="39"/>
        <v>1.06</v>
      </c>
    </row>
    <row r="279" spans="1:8">
      <c r="A279" s="17">
        <v>8186</v>
      </c>
      <c r="B279" s="20" t="s">
        <v>14</v>
      </c>
      <c r="C279" s="20">
        <v>2</v>
      </c>
      <c r="D279" s="20">
        <v>3.09</v>
      </c>
      <c r="E279" s="23">
        <v>1.58</v>
      </c>
      <c r="F279" s="23">
        <f t="shared" si="20"/>
        <v>1.51</v>
      </c>
      <c r="G279" s="24">
        <f t="shared" si="21"/>
        <v>0.488673139158576</v>
      </c>
      <c r="H279" s="23">
        <f t="shared" si="39"/>
        <v>3.02</v>
      </c>
    </row>
    <row r="280" spans="1:8">
      <c r="A280" s="17">
        <v>8186</v>
      </c>
      <c r="B280" s="20" t="s">
        <v>32</v>
      </c>
      <c r="C280" s="20">
        <v>2</v>
      </c>
      <c r="D280" s="20">
        <v>3.09</v>
      </c>
      <c r="E280" s="22">
        <v>1.58</v>
      </c>
      <c r="F280" s="23">
        <f t="shared" si="20"/>
        <v>1.51</v>
      </c>
      <c r="G280" s="24">
        <f t="shared" si="21"/>
        <v>0.488673139158576</v>
      </c>
      <c r="H280" s="23">
        <f t="shared" si="39"/>
        <v>3.02</v>
      </c>
    </row>
    <row r="281" spans="1:8">
      <c r="A281" s="17">
        <v>8187</v>
      </c>
      <c r="B281" s="20" t="s">
        <v>14</v>
      </c>
      <c r="C281" s="20">
        <v>2</v>
      </c>
      <c r="D281" s="20">
        <v>2.8</v>
      </c>
      <c r="E281" s="20">
        <v>1.56</v>
      </c>
      <c r="F281">
        <f t="shared" si="20"/>
        <v>1.24</v>
      </c>
      <c r="G281" s="18">
        <f t="shared" si="21"/>
        <v>0.442857142857143</v>
      </c>
      <c r="H281">
        <f t="shared" si="39"/>
        <v>2.48</v>
      </c>
    </row>
    <row r="282" spans="1:8">
      <c r="A282" s="17">
        <v>8187</v>
      </c>
      <c r="B282" s="20" t="s">
        <v>32</v>
      </c>
      <c r="C282" s="20">
        <v>2</v>
      </c>
      <c r="D282" s="20">
        <v>2.8</v>
      </c>
      <c r="E282" s="20">
        <v>1.56</v>
      </c>
      <c r="F282">
        <f t="shared" si="20"/>
        <v>1.24</v>
      </c>
      <c r="G282" s="18">
        <f t="shared" si="21"/>
        <v>0.442857142857143</v>
      </c>
      <c r="H282">
        <f t="shared" si="39"/>
        <v>2.48</v>
      </c>
    </row>
    <row r="283" spans="1:8">
      <c r="A283" s="17">
        <v>8189</v>
      </c>
      <c r="B283" s="20" t="s">
        <v>14</v>
      </c>
      <c r="C283" s="20">
        <v>2</v>
      </c>
      <c r="D283" s="20">
        <v>3.06</v>
      </c>
      <c r="E283" s="20">
        <v>1.55</v>
      </c>
      <c r="F283">
        <f t="shared" si="20"/>
        <v>1.51</v>
      </c>
      <c r="G283" s="18">
        <f t="shared" si="21"/>
        <v>0.493464052287582</v>
      </c>
      <c r="H283">
        <f t="shared" si="39"/>
        <v>3.02</v>
      </c>
    </row>
    <row r="284" spans="1:8">
      <c r="A284" s="17">
        <v>8189</v>
      </c>
      <c r="B284" s="20" t="s">
        <v>32</v>
      </c>
      <c r="C284" s="20">
        <v>2</v>
      </c>
      <c r="D284" s="20">
        <v>3.06</v>
      </c>
      <c r="E284" s="20">
        <v>1.35</v>
      </c>
      <c r="F284">
        <f t="shared" si="20"/>
        <v>1.71</v>
      </c>
      <c r="G284" s="18">
        <f t="shared" si="21"/>
        <v>0.558823529411765</v>
      </c>
      <c r="H284">
        <f t="shared" si="39"/>
        <v>3.42</v>
      </c>
    </row>
    <row r="285" spans="1:8">
      <c r="A285" s="17">
        <v>8189</v>
      </c>
      <c r="B285" s="20" t="s">
        <v>1015</v>
      </c>
      <c r="C285" s="20">
        <v>2</v>
      </c>
      <c r="D285" s="20"/>
      <c r="E285" s="20"/>
    </row>
    <row r="286" spans="1:8">
      <c r="A286" s="17">
        <v>8190</v>
      </c>
      <c r="B286" s="20" t="s">
        <v>14</v>
      </c>
      <c r="C286" s="20">
        <v>2</v>
      </c>
      <c r="D286" s="20">
        <v>3.09</v>
      </c>
      <c r="E286" s="20">
        <v>1.66</v>
      </c>
      <c r="F286">
        <f t="shared" si="20"/>
        <v>1.43</v>
      </c>
      <c r="G286" s="18">
        <f t="shared" si="21"/>
        <v>0.462783171521036</v>
      </c>
      <c r="H286">
        <f t="shared" si="39"/>
        <v>2.86</v>
      </c>
    </row>
    <row r="287" spans="1:8">
      <c r="A287" s="17">
        <v>8190</v>
      </c>
      <c r="B287" s="20" t="s">
        <v>32</v>
      </c>
      <c r="C287" s="20">
        <v>2</v>
      </c>
      <c r="D287" s="20">
        <v>2.58</v>
      </c>
      <c r="E287" s="20">
        <v>1.2</v>
      </c>
      <c r="F287">
        <f t="shared" si="20"/>
        <v>1.38</v>
      </c>
      <c r="G287" s="18">
        <f t="shared" si="21"/>
        <v>0.534883720930233</v>
      </c>
      <c r="H287">
        <f t="shared" si="39"/>
        <v>2.76</v>
      </c>
    </row>
    <row r="288" spans="1:8">
      <c r="A288" s="17">
        <v>8192</v>
      </c>
      <c r="B288" s="20" t="s">
        <v>14</v>
      </c>
      <c r="C288" s="20">
        <v>2</v>
      </c>
      <c r="D288" s="20">
        <v>4.12</v>
      </c>
      <c r="E288" s="22">
        <v>2.1</v>
      </c>
      <c r="F288" s="23">
        <f t="shared" si="20"/>
        <v>2.02</v>
      </c>
      <c r="G288" s="24">
        <f t="shared" si="21"/>
        <v>0.490291262135922</v>
      </c>
      <c r="H288" s="23">
        <f t="shared" si="39"/>
        <v>4.04</v>
      </c>
    </row>
    <row r="289" spans="1:8">
      <c r="A289" s="17">
        <v>8193</v>
      </c>
      <c r="B289" s="20" t="s">
        <v>14</v>
      </c>
      <c r="C289" s="20">
        <v>2</v>
      </c>
      <c r="D289" s="20">
        <v>3.93</v>
      </c>
      <c r="E289" s="22">
        <v>2.1</v>
      </c>
      <c r="F289" s="23">
        <f t="shared" ref="F289:F297" si="40">D289-E289</f>
        <v>1.83</v>
      </c>
      <c r="G289" s="24">
        <f t="shared" ref="G289:G297" si="41">F289/D289</f>
        <v>0.465648854961832</v>
      </c>
      <c r="H289" s="23">
        <f t="shared" ref="H289:H297" si="42">F289*C289</f>
        <v>3.66</v>
      </c>
    </row>
    <row r="290" spans="1:8">
      <c r="A290" s="17">
        <v>8195</v>
      </c>
      <c r="B290" s="20" t="s">
        <v>14</v>
      </c>
      <c r="C290" s="20">
        <v>2</v>
      </c>
      <c r="D290" s="20">
        <v>2.65</v>
      </c>
      <c r="E290" s="22"/>
      <c r="F290" s="23"/>
      <c r="G290" s="24"/>
      <c r="H290" s="23"/>
    </row>
    <row r="291" spans="1:8">
      <c r="A291" s="17">
        <v>8195</v>
      </c>
      <c r="B291" s="20" t="s">
        <v>32</v>
      </c>
      <c r="C291" s="20">
        <v>2</v>
      </c>
      <c r="D291" s="20">
        <v>2.2</v>
      </c>
      <c r="E291" s="22"/>
      <c r="F291" s="23"/>
      <c r="G291" s="24"/>
      <c r="H291" s="23"/>
    </row>
    <row r="292" spans="1:8">
      <c r="A292" s="17">
        <v>8196</v>
      </c>
      <c r="B292" s="20" t="s">
        <v>14</v>
      </c>
      <c r="C292" s="20">
        <v>2</v>
      </c>
      <c r="D292" s="20">
        <v>2.65</v>
      </c>
      <c r="E292" s="22"/>
      <c r="F292" s="23"/>
      <c r="G292" s="24"/>
      <c r="H292" s="23"/>
    </row>
    <row r="293" spans="1:8">
      <c r="A293" s="17">
        <v>8196</v>
      </c>
      <c r="B293" s="20" t="s">
        <v>32</v>
      </c>
      <c r="C293" s="20">
        <v>2</v>
      </c>
      <c r="D293" s="20">
        <v>2.2</v>
      </c>
      <c r="E293" s="22"/>
      <c r="F293" s="23"/>
      <c r="G293" s="24"/>
      <c r="H293" s="23"/>
    </row>
    <row r="294" spans="1:8">
      <c r="A294" s="17">
        <v>8197</v>
      </c>
      <c r="B294" s="20" t="s">
        <v>14</v>
      </c>
      <c r="C294" s="20">
        <v>2</v>
      </c>
      <c r="D294" s="20">
        <v>2.65</v>
      </c>
      <c r="E294" s="20">
        <v>1.45</v>
      </c>
      <c r="F294">
        <f t="shared" si="40"/>
        <v>1.2</v>
      </c>
      <c r="G294" s="18">
        <f t="shared" si="41"/>
        <v>0.452830188679245</v>
      </c>
      <c r="H294">
        <f t="shared" si="42"/>
        <v>2.4</v>
      </c>
    </row>
    <row r="295" spans="1:8">
      <c r="A295" s="17">
        <v>8197</v>
      </c>
      <c r="B295" s="20" t="s">
        <v>32</v>
      </c>
      <c r="C295" s="20">
        <v>2</v>
      </c>
      <c r="D295" s="20">
        <v>2.2</v>
      </c>
      <c r="E295" s="20">
        <v>0.95</v>
      </c>
      <c r="F295">
        <f t="shared" si="40"/>
        <v>1.25</v>
      </c>
      <c r="G295" s="18">
        <f t="shared" si="41"/>
        <v>0.568181818181818</v>
      </c>
      <c r="H295">
        <f t="shared" si="42"/>
        <v>2.5</v>
      </c>
    </row>
    <row r="296" spans="1:8">
      <c r="A296" s="17">
        <v>8198</v>
      </c>
      <c r="B296" s="20" t="s">
        <v>14</v>
      </c>
      <c r="C296" s="20">
        <v>2</v>
      </c>
      <c r="D296" s="20">
        <v>3.93</v>
      </c>
      <c r="E296" s="22">
        <v>2.35</v>
      </c>
      <c r="F296" s="23">
        <f t="shared" si="40"/>
        <v>1.58</v>
      </c>
      <c r="G296" s="24">
        <f t="shared" si="41"/>
        <v>0.402035623409669</v>
      </c>
      <c r="H296" s="23">
        <f t="shared" si="42"/>
        <v>3.16</v>
      </c>
    </row>
    <row r="297" spans="1:8">
      <c r="A297" s="17">
        <v>8199</v>
      </c>
      <c r="B297" s="20" t="s">
        <v>14</v>
      </c>
      <c r="C297" s="20">
        <v>2</v>
      </c>
      <c r="D297" s="20">
        <v>4.12</v>
      </c>
      <c r="E297" s="22">
        <v>2.45</v>
      </c>
      <c r="F297" s="23">
        <f t="shared" si="40"/>
        <v>1.67</v>
      </c>
      <c r="G297" s="24">
        <f t="shared" si="41"/>
        <v>0.405339805825243</v>
      </c>
      <c r="H297" s="23">
        <f t="shared" si="42"/>
        <v>3.34</v>
      </c>
    </row>
    <row r="298" spans="1:8">
      <c r="A298" s="17">
        <v>8202</v>
      </c>
      <c r="B298" s="20" t="s">
        <v>14</v>
      </c>
      <c r="C298" s="20">
        <v>2</v>
      </c>
      <c r="D298" s="20">
        <v>2.45</v>
      </c>
      <c r="E298">
        <v>1.18</v>
      </c>
      <c r="F298">
        <f t="shared" si="20"/>
        <v>1.27</v>
      </c>
      <c r="G298" s="18">
        <f t="shared" si="21"/>
        <v>0.518367346938776</v>
      </c>
      <c r="H298">
        <f t="shared" si="39"/>
        <v>2.54</v>
      </c>
    </row>
    <row r="299" spans="1:8">
      <c r="A299" s="17">
        <v>8202</v>
      </c>
      <c r="B299" s="20" t="s">
        <v>32</v>
      </c>
      <c r="C299" s="20">
        <v>2</v>
      </c>
      <c r="D299" s="20">
        <v>2.45</v>
      </c>
      <c r="E299">
        <v>1.11</v>
      </c>
      <c r="F299">
        <f t="shared" si="20"/>
        <v>1.34</v>
      </c>
      <c r="G299" s="18">
        <f t="shared" si="21"/>
        <v>0.546938775510204</v>
      </c>
      <c r="H299">
        <f t="shared" si="39"/>
        <v>2.68</v>
      </c>
    </row>
    <row r="300" spans="1:8">
      <c r="A300" s="17">
        <v>8202</v>
      </c>
      <c r="B300" s="20" t="s">
        <v>160</v>
      </c>
      <c r="C300" s="20">
        <v>2</v>
      </c>
      <c r="D300" s="20"/>
      <c r="F300">
        <f t="shared" si="20"/>
        <v>0</v>
      </c>
      <c r="H300">
        <f t="shared" si="39"/>
        <v>0</v>
      </c>
    </row>
    <row r="301" spans="1:8">
      <c r="A301" s="17">
        <v>8202</v>
      </c>
      <c r="B301" s="20" t="s">
        <v>303</v>
      </c>
      <c r="C301" s="20">
        <v>2</v>
      </c>
      <c r="D301" s="20">
        <v>1.02</v>
      </c>
      <c r="E301">
        <v>0.49</v>
      </c>
      <c r="F301">
        <f t="shared" si="20"/>
        <v>0.53</v>
      </c>
      <c r="G301" s="18">
        <f t="shared" si="21"/>
        <v>0.519607843137255</v>
      </c>
      <c r="H301">
        <f t="shared" si="39"/>
        <v>1.06</v>
      </c>
    </row>
    <row r="302" spans="1:8">
      <c r="A302" s="17">
        <v>8204</v>
      </c>
      <c r="B302" s="20" t="s">
        <v>14</v>
      </c>
      <c r="C302" s="20">
        <v>2</v>
      </c>
      <c r="D302" s="20">
        <v>2.45</v>
      </c>
      <c r="E302">
        <v>1.65</v>
      </c>
      <c r="F302">
        <f t="shared" ref="F302:F316" si="43">D302-E302</f>
        <v>0.8</v>
      </c>
      <c r="G302" s="18">
        <f t="shared" ref="G302:G311" si="44">F302/D302</f>
        <v>0.326530612244898</v>
      </c>
      <c r="H302">
        <f t="shared" si="39"/>
        <v>1.6</v>
      </c>
    </row>
    <row r="303" spans="1:8">
      <c r="A303" s="17">
        <v>8204</v>
      </c>
      <c r="B303" s="20" t="s">
        <v>32</v>
      </c>
      <c r="C303" s="20">
        <v>2</v>
      </c>
      <c r="D303" s="20">
        <v>1.46</v>
      </c>
      <c r="E303">
        <v>0.74</v>
      </c>
      <c r="F303">
        <f t="shared" si="43"/>
        <v>0.72</v>
      </c>
      <c r="G303" s="18">
        <f t="shared" si="44"/>
        <v>0.493150684931507</v>
      </c>
      <c r="H303">
        <f t="shared" si="39"/>
        <v>1.44</v>
      </c>
    </row>
    <row r="304" spans="1:8">
      <c r="A304" s="17">
        <v>8204</v>
      </c>
      <c r="B304" s="20" t="s">
        <v>1016</v>
      </c>
      <c r="C304" s="20">
        <v>2</v>
      </c>
      <c r="D304">
        <v>0.613</v>
      </c>
      <c r="E304">
        <v>0.45</v>
      </c>
      <c r="F304">
        <f t="shared" si="43"/>
        <v>0.163</v>
      </c>
      <c r="G304" s="18">
        <f t="shared" si="44"/>
        <v>0.265905383360522</v>
      </c>
      <c r="H304">
        <f t="shared" si="39"/>
        <v>0.326</v>
      </c>
    </row>
    <row r="305" spans="1:8">
      <c r="A305" s="17">
        <v>8204</v>
      </c>
      <c r="B305" s="20" t="s">
        <v>303</v>
      </c>
      <c r="C305" s="20">
        <v>2</v>
      </c>
      <c r="D305">
        <v>0.25</v>
      </c>
      <c r="E305">
        <v>0.17</v>
      </c>
      <c r="F305">
        <f t="shared" si="43"/>
        <v>0.08</v>
      </c>
      <c r="G305" s="18">
        <f t="shared" si="44"/>
        <v>0.32</v>
      </c>
      <c r="H305">
        <f t="shared" ref="H305:H316" si="45">F305*C305</f>
        <v>0.16</v>
      </c>
    </row>
    <row r="306" spans="1:8">
      <c r="A306" s="17">
        <v>8205</v>
      </c>
      <c r="B306" s="20" t="s">
        <v>14</v>
      </c>
      <c r="C306" s="20">
        <v>2</v>
      </c>
      <c r="D306" s="20">
        <v>3.06</v>
      </c>
      <c r="E306" s="23">
        <v>1.965</v>
      </c>
      <c r="F306">
        <f t="shared" si="43"/>
        <v>1.095</v>
      </c>
      <c r="G306" s="18">
        <f t="shared" si="44"/>
        <v>0.357843137254902</v>
      </c>
      <c r="H306">
        <f t="shared" si="45"/>
        <v>2.19</v>
      </c>
    </row>
    <row r="307" spans="1:8">
      <c r="A307" s="17">
        <v>8206</v>
      </c>
      <c r="B307" s="20" t="s">
        <v>14</v>
      </c>
      <c r="C307" s="20">
        <v>2</v>
      </c>
      <c r="D307" s="20">
        <v>3.06</v>
      </c>
      <c r="E307">
        <v>1.59</v>
      </c>
      <c r="F307">
        <f t="shared" si="43"/>
        <v>1.47</v>
      </c>
      <c r="G307" s="18">
        <f t="shared" si="44"/>
        <v>0.480392156862745</v>
      </c>
      <c r="H307">
        <f t="shared" si="45"/>
        <v>2.94</v>
      </c>
    </row>
    <row r="308" spans="1:8">
      <c r="A308" s="17">
        <v>8206</v>
      </c>
      <c r="B308" s="20" t="s">
        <v>32</v>
      </c>
      <c r="C308" s="20">
        <v>2</v>
      </c>
      <c r="D308" s="20">
        <v>1.75</v>
      </c>
      <c r="E308">
        <v>1.05</v>
      </c>
      <c r="F308">
        <f t="shared" si="43"/>
        <v>0.7</v>
      </c>
      <c r="G308" s="18">
        <f t="shared" si="44"/>
        <v>0.4</v>
      </c>
      <c r="H308">
        <f t="shared" si="45"/>
        <v>1.4</v>
      </c>
    </row>
    <row r="309" spans="1:8">
      <c r="A309" s="17">
        <v>8207</v>
      </c>
      <c r="B309" s="20" t="s">
        <v>14</v>
      </c>
      <c r="C309" s="20">
        <v>2</v>
      </c>
      <c r="D309" s="20">
        <v>2.19</v>
      </c>
      <c r="E309">
        <v>1.09</v>
      </c>
      <c r="F309">
        <f t="shared" si="43"/>
        <v>1.1</v>
      </c>
      <c r="G309" s="18">
        <f t="shared" si="44"/>
        <v>0.502283105022831</v>
      </c>
      <c r="H309">
        <f t="shared" si="45"/>
        <v>2.2</v>
      </c>
    </row>
    <row r="310" spans="1:8">
      <c r="A310" s="17">
        <v>8207</v>
      </c>
      <c r="B310" s="20" t="s">
        <v>32</v>
      </c>
      <c r="C310" s="20">
        <v>2</v>
      </c>
      <c r="D310" s="20">
        <v>1.75</v>
      </c>
      <c r="E310">
        <v>0.5</v>
      </c>
      <c r="F310">
        <f t="shared" si="43"/>
        <v>1.25</v>
      </c>
      <c r="G310" s="18">
        <f t="shared" si="44"/>
        <v>0.714285714285714</v>
      </c>
      <c r="H310">
        <f t="shared" si="45"/>
        <v>2.5</v>
      </c>
    </row>
    <row r="311" spans="1:8">
      <c r="A311" s="17">
        <v>8207</v>
      </c>
      <c r="B311" s="20" t="s">
        <v>160</v>
      </c>
      <c r="C311" s="20">
        <v>2</v>
      </c>
      <c r="D311" s="20">
        <v>0.35</v>
      </c>
      <c r="E311" s="20">
        <v>0.18</v>
      </c>
      <c r="F311">
        <f t="shared" si="43"/>
        <v>0.17</v>
      </c>
      <c r="G311" s="18">
        <f t="shared" si="44"/>
        <v>0.485714285714286</v>
      </c>
      <c r="H311">
        <f t="shared" si="45"/>
        <v>0.34</v>
      </c>
    </row>
    <row r="312" spans="1:8">
      <c r="A312" s="17">
        <v>8208</v>
      </c>
      <c r="B312" s="20" t="s">
        <v>14</v>
      </c>
      <c r="C312" s="20">
        <v>2</v>
      </c>
      <c r="D312" s="20">
        <v>2.19</v>
      </c>
      <c r="E312">
        <v>1.09</v>
      </c>
      <c r="F312">
        <f t="shared" si="43"/>
        <v>1.1</v>
      </c>
      <c r="G312" s="18">
        <f t="shared" ref="G312:G343" si="46">F312/D312</f>
        <v>0.502283105022831</v>
      </c>
      <c r="H312">
        <f t="shared" si="45"/>
        <v>2.2</v>
      </c>
    </row>
    <row r="313" spans="1:8">
      <c r="A313" s="17">
        <v>8208</v>
      </c>
      <c r="B313" s="20" t="s">
        <v>32</v>
      </c>
      <c r="C313" s="20">
        <v>2</v>
      </c>
      <c r="D313" s="20">
        <v>1.75</v>
      </c>
      <c r="E313">
        <v>0.5</v>
      </c>
      <c r="F313">
        <f t="shared" si="43"/>
        <v>1.25</v>
      </c>
      <c r="G313" s="18">
        <f t="shared" si="46"/>
        <v>0.714285714285714</v>
      </c>
      <c r="H313">
        <f t="shared" si="45"/>
        <v>2.5</v>
      </c>
    </row>
    <row r="314" spans="1:8">
      <c r="A314" s="17">
        <v>8208</v>
      </c>
      <c r="B314" s="20" t="s">
        <v>160</v>
      </c>
      <c r="C314" s="20">
        <v>2</v>
      </c>
      <c r="D314" s="20">
        <v>0.35</v>
      </c>
      <c r="E314">
        <v>0.2</v>
      </c>
      <c r="F314">
        <f t="shared" si="43"/>
        <v>0.15</v>
      </c>
      <c r="G314" s="18">
        <f t="shared" si="46"/>
        <v>0.428571428571428</v>
      </c>
      <c r="H314">
        <f t="shared" si="45"/>
        <v>0.3</v>
      </c>
    </row>
    <row r="315" spans="1:8">
      <c r="A315" s="17">
        <v>8208</v>
      </c>
      <c r="B315" s="20" t="s">
        <v>138</v>
      </c>
      <c r="C315" s="20">
        <v>2</v>
      </c>
      <c r="D315" s="20">
        <v>0.14</v>
      </c>
      <c r="E315">
        <v>0.05</v>
      </c>
      <c r="F315">
        <f t="shared" si="43"/>
        <v>0.09</v>
      </c>
      <c r="G315" s="18">
        <f t="shared" si="46"/>
        <v>0.642857142857143</v>
      </c>
      <c r="H315">
        <f t="shared" si="45"/>
        <v>0.18</v>
      </c>
    </row>
    <row r="316" spans="1:8">
      <c r="A316" s="17">
        <v>8208</v>
      </c>
      <c r="B316" s="20" t="s">
        <v>138</v>
      </c>
      <c r="C316" s="20">
        <v>2</v>
      </c>
      <c r="D316" s="20">
        <v>0.15</v>
      </c>
      <c r="E316">
        <v>0.06</v>
      </c>
      <c r="F316">
        <f t="shared" si="43"/>
        <v>0.09</v>
      </c>
      <c r="G316" s="18">
        <f t="shared" si="46"/>
        <v>0.6</v>
      </c>
      <c r="H316">
        <f t="shared" si="45"/>
        <v>0.18</v>
      </c>
    </row>
    <row r="317" spans="1:8">
      <c r="A317" s="17">
        <v>8209</v>
      </c>
      <c r="B317" s="20" t="s">
        <v>14</v>
      </c>
      <c r="C317" s="20">
        <v>2</v>
      </c>
      <c r="D317" s="20">
        <v>2.1</v>
      </c>
    </row>
    <row r="318" spans="1:8">
      <c r="A318" s="17">
        <v>8209</v>
      </c>
      <c r="B318" s="20" t="s">
        <v>32</v>
      </c>
      <c r="C318" s="20">
        <v>2</v>
      </c>
      <c r="D318" s="20">
        <v>1.84</v>
      </c>
    </row>
    <row r="319" spans="1:8">
      <c r="A319" s="17">
        <v>8209</v>
      </c>
      <c r="B319" s="20" t="s">
        <v>91</v>
      </c>
      <c r="C319" s="20">
        <v>2</v>
      </c>
      <c r="D319" s="20"/>
    </row>
    <row r="320" spans="1:8">
      <c r="A320" s="17">
        <v>8210</v>
      </c>
      <c r="B320" s="20" t="s">
        <v>14</v>
      </c>
      <c r="C320" s="20">
        <v>2</v>
      </c>
      <c r="D320" s="20">
        <v>2.1</v>
      </c>
    </row>
    <row r="321" spans="1:8">
      <c r="A321" s="17">
        <v>8210</v>
      </c>
      <c r="B321" s="20" t="s">
        <v>32</v>
      </c>
      <c r="C321" s="20">
        <v>2</v>
      </c>
      <c r="D321" s="20">
        <v>1.84</v>
      </c>
    </row>
    <row r="322" spans="1:8">
      <c r="A322" s="17">
        <v>8211</v>
      </c>
      <c r="B322" s="20" t="s">
        <v>14</v>
      </c>
      <c r="C322" s="20">
        <v>2</v>
      </c>
      <c r="D322" s="20">
        <v>2.04</v>
      </c>
      <c r="E322">
        <v>0.91</v>
      </c>
      <c r="F322">
        <f t="shared" ref="F322:F343" si="47">D322-E322</f>
        <v>1.13</v>
      </c>
      <c r="G322" s="18">
        <f t="shared" si="46"/>
        <v>0.553921568627451</v>
      </c>
      <c r="H322">
        <f t="shared" ref="H322:H494" si="48">F322*C322</f>
        <v>2.26</v>
      </c>
    </row>
    <row r="323" spans="1:8">
      <c r="A323" s="17">
        <v>8212</v>
      </c>
      <c r="B323" s="20" t="s">
        <v>14</v>
      </c>
      <c r="C323" s="20">
        <v>2</v>
      </c>
      <c r="D323" s="26">
        <v>4.1</v>
      </c>
      <c r="E323">
        <v>2.22</v>
      </c>
      <c r="F323">
        <f t="shared" si="47"/>
        <v>1.88</v>
      </c>
      <c r="G323" s="18">
        <f t="shared" si="46"/>
        <v>0.458536585365854</v>
      </c>
      <c r="H323">
        <f t="shared" si="48"/>
        <v>3.76</v>
      </c>
    </row>
    <row r="324" spans="1:8">
      <c r="A324" s="17">
        <v>8212</v>
      </c>
      <c r="B324" s="20" t="s">
        <v>32</v>
      </c>
      <c r="C324" s="20">
        <v>2</v>
      </c>
      <c r="D324" s="26">
        <v>0.14</v>
      </c>
      <c r="E324">
        <v>0.06</v>
      </c>
      <c r="F324">
        <f t="shared" si="47"/>
        <v>0.08</v>
      </c>
      <c r="G324" s="18">
        <f t="shared" si="46"/>
        <v>0.571428571428572</v>
      </c>
      <c r="H324">
        <f t="shared" si="48"/>
        <v>0.16</v>
      </c>
    </row>
    <row r="325" spans="1:8">
      <c r="A325" s="17">
        <v>8212</v>
      </c>
      <c r="B325" s="20" t="s">
        <v>346</v>
      </c>
      <c r="C325" s="20">
        <v>2</v>
      </c>
      <c r="D325" s="27">
        <v>0.34</v>
      </c>
      <c r="E325" s="28">
        <v>0.08</v>
      </c>
      <c r="F325" s="28">
        <f t="shared" si="47"/>
        <v>0.26</v>
      </c>
      <c r="G325" s="29">
        <f t="shared" si="46"/>
        <v>0.764705882352941</v>
      </c>
      <c r="H325" s="28">
        <f t="shared" si="48"/>
        <v>0.52</v>
      </c>
    </row>
    <row r="326" spans="1:8">
      <c r="A326" s="17">
        <v>8212</v>
      </c>
      <c r="B326" s="20" t="s">
        <v>822</v>
      </c>
      <c r="C326" s="20">
        <v>2</v>
      </c>
      <c r="D326" s="27">
        <v>0.328341346153846</v>
      </c>
      <c r="E326" s="28"/>
      <c r="F326" s="28"/>
      <c r="G326" s="29"/>
      <c r="H326" s="28">
        <f t="shared" si="48"/>
        <v>0</v>
      </c>
    </row>
    <row r="327" spans="1:8">
      <c r="A327" s="17">
        <v>8212</v>
      </c>
      <c r="B327" s="20" t="s">
        <v>1008</v>
      </c>
      <c r="C327" s="20">
        <v>2</v>
      </c>
      <c r="D327" s="26">
        <v>0.317019230769231</v>
      </c>
      <c r="E327">
        <v>0.12</v>
      </c>
      <c r="F327">
        <f t="shared" si="47"/>
        <v>0.197019230769231</v>
      </c>
      <c r="G327" s="18">
        <f t="shared" si="46"/>
        <v>0.62147406733394</v>
      </c>
      <c r="H327">
        <f t="shared" si="48"/>
        <v>0.394038461538462</v>
      </c>
    </row>
    <row r="328" spans="1:8">
      <c r="A328" s="17">
        <v>8212</v>
      </c>
      <c r="B328" s="20" t="s">
        <v>1009</v>
      </c>
      <c r="C328" s="20">
        <v>2</v>
      </c>
      <c r="D328" s="26">
        <v>0.2269140625</v>
      </c>
      <c r="E328">
        <v>0.12</v>
      </c>
      <c r="F328">
        <f t="shared" si="47"/>
        <v>0.1069140625</v>
      </c>
      <c r="G328" s="18">
        <f t="shared" si="46"/>
        <v>0.471165432948872</v>
      </c>
      <c r="H328">
        <f t="shared" si="48"/>
        <v>0.213828125</v>
      </c>
    </row>
    <row r="329" spans="1:8">
      <c r="A329" s="17">
        <v>8212</v>
      </c>
      <c r="B329" s="20" t="s">
        <v>1011</v>
      </c>
      <c r="C329" s="20">
        <v>2</v>
      </c>
      <c r="D329" s="26">
        <v>0.21195</v>
      </c>
      <c r="E329">
        <v>0.11</v>
      </c>
      <c r="F329">
        <f t="shared" si="47"/>
        <v>0.10195</v>
      </c>
      <c r="G329" s="18">
        <f t="shared" si="46"/>
        <v>0.481009672092475</v>
      </c>
      <c r="H329">
        <f t="shared" si="48"/>
        <v>0.2039</v>
      </c>
    </row>
    <row r="330" spans="1:8">
      <c r="A330" s="17">
        <v>8213</v>
      </c>
      <c r="B330" s="20" t="s">
        <v>14</v>
      </c>
      <c r="C330" s="20">
        <v>2</v>
      </c>
      <c r="D330" s="30">
        <v>2.25</v>
      </c>
      <c r="E330">
        <v>1.07</v>
      </c>
      <c r="F330">
        <f t="shared" si="47"/>
        <v>1.18</v>
      </c>
      <c r="G330" s="18">
        <f t="shared" si="46"/>
        <v>0.524444444444444</v>
      </c>
      <c r="H330">
        <f t="shared" si="48"/>
        <v>2.36</v>
      </c>
    </row>
    <row r="331" spans="1:8">
      <c r="A331" s="17">
        <v>8213</v>
      </c>
      <c r="B331" s="20" t="s">
        <v>32</v>
      </c>
      <c r="C331" s="20">
        <v>2</v>
      </c>
      <c r="D331" s="30">
        <v>2.35</v>
      </c>
      <c r="E331">
        <v>1.07</v>
      </c>
      <c r="F331">
        <f t="shared" si="47"/>
        <v>1.28</v>
      </c>
      <c r="G331" s="18">
        <f t="shared" si="46"/>
        <v>0.54468085106383</v>
      </c>
      <c r="H331">
        <f t="shared" si="48"/>
        <v>2.56</v>
      </c>
    </row>
    <row r="332" spans="1:8">
      <c r="A332" s="17">
        <v>8213</v>
      </c>
      <c r="B332" s="20" t="s">
        <v>641</v>
      </c>
      <c r="C332" s="20">
        <v>2</v>
      </c>
      <c r="D332" s="30"/>
    </row>
    <row r="333" spans="1:8">
      <c r="A333" s="17">
        <v>8213</v>
      </c>
      <c r="B333" s="20" t="s">
        <v>1017</v>
      </c>
      <c r="C333" s="20">
        <v>2</v>
      </c>
      <c r="D333" s="30"/>
    </row>
    <row r="334" spans="1:8">
      <c r="A334" s="17">
        <v>8213</v>
      </c>
      <c r="B334" s="20" t="s">
        <v>1018</v>
      </c>
      <c r="C334" s="20">
        <v>2</v>
      </c>
      <c r="D334" s="30"/>
    </row>
    <row r="335" spans="1:8">
      <c r="A335" s="17">
        <v>8221</v>
      </c>
      <c r="B335" s="20" t="s">
        <v>14</v>
      </c>
      <c r="C335" s="20">
        <v>2</v>
      </c>
      <c r="D335" s="30">
        <v>3.29</v>
      </c>
      <c r="E335">
        <v>2.06</v>
      </c>
      <c r="F335">
        <f t="shared" si="47"/>
        <v>1.23</v>
      </c>
      <c r="G335" s="18">
        <f t="shared" si="46"/>
        <v>0.373860182370821</v>
      </c>
      <c r="H335">
        <f t="shared" si="48"/>
        <v>2.46</v>
      </c>
    </row>
    <row r="336" spans="1:8">
      <c r="A336" s="17">
        <v>8221</v>
      </c>
      <c r="B336" s="20" t="s">
        <v>32</v>
      </c>
      <c r="C336" s="20">
        <v>2</v>
      </c>
      <c r="D336" s="30">
        <v>1.16</v>
      </c>
      <c r="E336">
        <v>0.67</v>
      </c>
      <c r="F336">
        <f t="shared" si="47"/>
        <v>0.49</v>
      </c>
      <c r="G336" s="18">
        <f t="shared" si="46"/>
        <v>0.422413793103448</v>
      </c>
      <c r="H336">
        <f t="shared" si="48"/>
        <v>0.98</v>
      </c>
    </row>
    <row r="337" spans="1:8">
      <c r="A337" s="17">
        <v>8221</v>
      </c>
      <c r="B337" s="20" t="s">
        <v>601</v>
      </c>
      <c r="C337" s="20">
        <v>2</v>
      </c>
      <c r="D337" s="30">
        <v>0.6</v>
      </c>
      <c r="E337">
        <v>0.15</v>
      </c>
      <c r="F337">
        <f t="shared" si="47"/>
        <v>0.45</v>
      </c>
      <c r="G337" s="18">
        <f t="shared" si="46"/>
        <v>0.75</v>
      </c>
      <c r="H337">
        <f t="shared" si="48"/>
        <v>0.9</v>
      </c>
    </row>
    <row r="338" spans="1:8">
      <c r="A338" s="17">
        <v>8221</v>
      </c>
      <c r="B338" s="20" t="s">
        <v>604</v>
      </c>
      <c r="C338" s="20">
        <v>2</v>
      </c>
      <c r="D338" s="30">
        <v>0.15</v>
      </c>
      <c r="E338">
        <v>0.08</v>
      </c>
      <c r="F338">
        <f t="shared" si="47"/>
        <v>0.07</v>
      </c>
      <c r="G338" s="18">
        <f t="shared" si="46"/>
        <v>0.466666666666667</v>
      </c>
      <c r="H338">
        <f t="shared" si="48"/>
        <v>0.14</v>
      </c>
    </row>
    <row r="339" spans="1:8">
      <c r="A339" s="17">
        <v>8223</v>
      </c>
      <c r="B339" s="20" t="s">
        <v>14</v>
      </c>
      <c r="C339" s="20">
        <v>2</v>
      </c>
      <c r="D339" s="20">
        <v>4.29</v>
      </c>
      <c r="E339">
        <v>2.38</v>
      </c>
      <c r="F339">
        <f t="shared" si="47"/>
        <v>1.91</v>
      </c>
      <c r="G339" s="18">
        <f t="shared" si="46"/>
        <v>0.445221445221445</v>
      </c>
      <c r="H339">
        <f t="shared" si="48"/>
        <v>3.82</v>
      </c>
    </row>
    <row r="340" spans="1:8">
      <c r="A340" s="17">
        <v>8223</v>
      </c>
      <c r="B340" s="20" t="s">
        <v>32</v>
      </c>
      <c r="C340" s="20">
        <v>2</v>
      </c>
      <c r="D340" s="20">
        <v>0.57</v>
      </c>
      <c r="E340">
        <v>0.33</v>
      </c>
      <c r="F340">
        <f t="shared" si="47"/>
        <v>0.24</v>
      </c>
      <c r="G340" s="18">
        <f t="shared" si="46"/>
        <v>0.421052631578947</v>
      </c>
      <c r="H340">
        <f t="shared" si="48"/>
        <v>0.48</v>
      </c>
    </row>
    <row r="341" spans="1:8">
      <c r="A341" s="17">
        <v>8224</v>
      </c>
      <c r="B341" s="20" t="s">
        <v>14</v>
      </c>
      <c r="C341" s="20">
        <v>2</v>
      </c>
      <c r="D341" s="20">
        <v>4.29</v>
      </c>
      <c r="E341">
        <v>2.38</v>
      </c>
      <c r="F341">
        <f t="shared" si="47"/>
        <v>1.91</v>
      </c>
      <c r="G341" s="18">
        <f t="shared" si="46"/>
        <v>0.445221445221445</v>
      </c>
      <c r="H341">
        <f t="shared" si="48"/>
        <v>3.82</v>
      </c>
    </row>
    <row r="342" spans="1:8">
      <c r="A342" s="17">
        <v>8224</v>
      </c>
      <c r="B342" s="20" t="s">
        <v>32</v>
      </c>
      <c r="C342" s="20">
        <v>2</v>
      </c>
      <c r="D342" s="20">
        <v>0.57</v>
      </c>
      <c r="E342">
        <v>0.33</v>
      </c>
      <c r="F342">
        <f t="shared" si="47"/>
        <v>0.24</v>
      </c>
      <c r="G342" s="18">
        <f t="shared" si="46"/>
        <v>0.421052631578947</v>
      </c>
      <c r="H342">
        <f t="shared" si="48"/>
        <v>0.48</v>
      </c>
    </row>
    <row r="343" spans="1:8">
      <c r="A343" s="17">
        <v>8224</v>
      </c>
      <c r="B343" s="20" t="s">
        <v>138</v>
      </c>
      <c r="C343" s="20">
        <v>2</v>
      </c>
      <c r="D343" s="20">
        <v>0.09</v>
      </c>
      <c r="E343">
        <v>0.06</v>
      </c>
      <c r="F343">
        <f t="shared" si="47"/>
        <v>0.03</v>
      </c>
      <c r="G343" s="18">
        <f t="shared" si="46"/>
        <v>0.333333333333333</v>
      </c>
      <c r="H343">
        <f t="shared" si="48"/>
        <v>0.06</v>
      </c>
    </row>
    <row r="344" spans="1:8">
      <c r="A344" s="17">
        <v>8225</v>
      </c>
      <c r="B344" s="20" t="s">
        <v>14</v>
      </c>
      <c r="C344" s="20">
        <v>2</v>
      </c>
      <c r="D344" s="20">
        <v>3.6</v>
      </c>
      <c r="E344">
        <v>2.22</v>
      </c>
      <c r="F344">
        <f t="shared" ref="F344:F378" si="49">D344-E344</f>
        <v>1.38</v>
      </c>
      <c r="G344" s="18">
        <f t="shared" ref="G344:G494" si="50">F344/D344</f>
        <v>0.383333333333333</v>
      </c>
      <c r="H344">
        <f t="shared" si="48"/>
        <v>2.76</v>
      </c>
    </row>
    <row r="345" spans="1:8">
      <c r="A345" s="17">
        <v>8226</v>
      </c>
      <c r="B345" s="20" t="s">
        <v>14</v>
      </c>
      <c r="C345" s="20">
        <v>2</v>
      </c>
      <c r="D345" s="20">
        <v>3.6</v>
      </c>
      <c r="E345">
        <v>2.11</v>
      </c>
      <c r="F345">
        <f t="shared" si="49"/>
        <v>1.49</v>
      </c>
      <c r="G345" s="18">
        <f t="shared" si="50"/>
        <v>0.413888888888889</v>
      </c>
      <c r="H345">
        <f t="shared" si="48"/>
        <v>2.98</v>
      </c>
    </row>
    <row r="346" spans="1:8">
      <c r="A346" s="17">
        <v>8227</v>
      </c>
      <c r="B346" s="20" t="s">
        <v>14</v>
      </c>
      <c r="C346" s="20">
        <v>2</v>
      </c>
      <c r="D346" s="20">
        <v>4.95</v>
      </c>
      <c r="E346">
        <v>2.52</v>
      </c>
      <c r="F346">
        <f t="shared" si="49"/>
        <v>2.43</v>
      </c>
      <c r="G346" s="18">
        <f t="shared" si="50"/>
        <v>0.490909090909091</v>
      </c>
      <c r="H346">
        <f t="shared" si="48"/>
        <v>4.86</v>
      </c>
    </row>
    <row r="347" spans="1:8">
      <c r="A347" s="17">
        <v>8228</v>
      </c>
      <c r="B347" s="20" t="s">
        <v>14</v>
      </c>
      <c r="C347" s="20">
        <v>2</v>
      </c>
      <c r="D347" s="20">
        <v>2.63</v>
      </c>
      <c r="E347" s="20">
        <v>1.46</v>
      </c>
      <c r="F347">
        <f t="shared" si="49"/>
        <v>1.17</v>
      </c>
      <c r="G347" s="18">
        <f t="shared" si="50"/>
        <v>0.444866920152091</v>
      </c>
      <c r="H347">
        <f t="shared" si="48"/>
        <v>2.34</v>
      </c>
    </row>
    <row r="348" spans="1:8">
      <c r="A348" s="17">
        <v>8228</v>
      </c>
      <c r="B348" s="20" t="s">
        <v>32</v>
      </c>
      <c r="C348" s="20">
        <v>2</v>
      </c>
      <c r="D348" s="20">
        <v>2.63</v>
      </c>
      <c r="E348" s="20">
        <v>1.4</v>
      </c>
      <c r="F348">
        <f t="shared" si="49"/>
        <v>1.23</v>
      </c>
      <c r="G348" s="18">
        <f t="shared" si="50"/>
        <v>0.467680608365019</v>
      </c>
      <c r="H348">
        <f t="shared" si="48"/>
        <v>2.46</v>
      </c>
    </row>
    <row r="349" spans="1:8">
      <c r="A349" s="17">
        <v>8228</v>
      </c>
      <c r="B349" s="20" t="s">
        <v>160</v>
      </c>
      <c r="C349" s="20">
        <v>2</v>
      </c>
      <c r="D349" s="20">
        <v>0.78</v>
      </c>
      <c r="E349" s="20">
        <v>0.36</v>
      </c>
      <c r="F349">
        <f t="shared" si="49"/>
        <v>0.42</v>
      </c>
      <c r="G349" s="18">
        <f t="shared" si="50"/>
        <v>0.538461538461539</v>
      </c>
      <c r="H349">
        <f t="shared" si="48"/>
        <v>0.84</v>
      </c>
    </row>
    <row r="350" spans="1:8">
      <c r="A350" s="17">
        <v>8228</v>
      </c>
      <c r="B350" s="20" t="s">
        <v>751</v>
      </c>
      <c r="C350" s="20">
        <v>2</v>
      </c>
      <c r="F350">
        <f t="shared" si="49"/>
        <v>0</v>
      </c>
      <c r="H350">
        <f t="shared" si="48"/>
        <v>0</v>
      </c>
    </row>
    <row r="351" spans="1:8">
      <c r="A351" s="17">
        <v>8229</v>
      </c>
      <c r="B351" s="20" t="s">
        <v>14</v>
      </c>
      <c r="C351" s="20">
        <v>2</v>
      </c>
      <c r="D351">
        <v>2.21</v>
      </c>
      <c r="E351">
        <v>1.43</v>
      </c>
      <c r="F351">
        <f t="shared" si="49"/>
        <v>0.78</v>
      </c>
      <c r="G351" s="18">
        <f t="shared" si="50"/>
        <v>0.352941176470588</v>
      </c>
      <c r="H351">
        <f t="shared" si="48"/>
        <v>1.56</v>
      </c>
    </row>
    <row r="352" spans="1:8">
      <c r="A352" s="17">
        <v>8229</v>
      </c>
      <c r="B352" s="20" t="s">
        <v>32</v>
      </c>
      <c r="C352" s="20">
        <v>2</v>
      </c>
      <c r="D352">
        <v>0.31</v>
      </c>
      <c r="E352">
        <v>0.26</v>
      </c>
      <c r="F352">
        <f t="shared" si="49"/>
        <v>0.05</v>
      </c>
      <c r="G352" s="18">
        <f t="shared" si="50"/>
        <v>0.161290322580645</v>
      </c>
      <c r="H352">
        <f t="shared" si="48"/>
        <v>0.1</v>
      </c>
    </row>
    <row r="353" spans="1:8">
      <c r="A353" s="17">
        <v>8229</v>
      </c>
      <c r="B353" s="20" t="s">
        <v>138</v>
      </c>
      <c r="C353" s="20">
        <v>2</v>
      </c>
    </row>
    <row r="354" spans="1:8">
      <c r="A354" s="17">
        <v>8230</v>
      </c>
      <c r="B354" s="20" t="s">
        <v>14</v>
      </c>
      <c r="C354" s="20">
        <v>2</v>
      </c>
      <c r="D354" s="20">
        <v>2.63</v>
      </c>
      <c r="E354" s="20">
        <v>1.56</v>
      </c>
      <c r="F354">
        <f>D354-E354</f>
        <v>1.07</v>
      </c>
      <c r="G354" s="18">
        <f>F354/D354</f>
        <v>0.406844106463878</v>
      </c>
      <c r="H354">
        <f>F354*C350</f>
        <v>2.14</v>
      </c>
    </row>
    <row r="355" spans="1:8">
      <c r="A355" s="17">
        <v>8230</v>
      </c>
      <c r="B355" s="20" t="s">
        <v>32</v>
      </c>
      <c r="C355" s="20">
        <v>2</v>
      </c>
      <c r="D355" s="20">
        <v>2.63</v>
      </c>
      <c r="E355" s="20">
        <v>1.46</v>
      </c>
      <c r="F355">
        <f>D355-E355</f>
        <v>1.17</v>
      </c>
      <c r="G355" s="18">
        <f>F355/D355</f>
        <v>0.444866920152091</v>
      </c>
      <c r="H355">
        <f>F355*C354</f>
        <v>2.34</v>
      </c>
    </row>
    <row r="356" spans="1:8">
      <c r="A356" s="17">
        <v>8231</v>
      </c>
      <c r="B356" s="20" t="s">
        <v>14</v>
      </c>
      <c r="C356" s="20">
        <v>2</v>
      </c>
      <c r="D356" s="20">
        <v>3.57</v>
      </c>
      <c r="E356">
        <v>1.88</v>
      </c>
      <c r="F356">
        <f t="shared" si="49"/>
        <v>1.69</v>
      </c>
      <c r="G356" s="18">
        <f t="shared" si="50"/>
        <v>0.473389355742297</v>
      </c>
      <c r="H356">
        <f t="shared" si="48"/>
        <v>3.38</v>
      </c>
    </row>
    <row r="357" spans="1:8">
      <c r="A357" s="17">
        <v>8231</v>
      </c>
      <c r="B357" s="20" t="s">
        <v>32</v>
      </c>
      <c r="C357" s="20">
        <v>2</v>
      </c>
      <c r="D357" s="20">
        <v>0.74</v>
      </c>
      <c r="E357">
        <v>0.36</v>
      </c>
      <c r="F357">
        <f t="shared" si="49"/>
        <v>0.38</v>
      </c>
      <c r="G357" s="18">
        <f t="shared" si="50"/>
        <v>0.513513513513513</v>
      </c>
      <c r="H357">
        <f t="shared" si="48"/>
        <v>0.76</v>
      </c>
    </row>
    <row r="358" spans="1:8">
      <c r="A358" s="17">
        <v>8232</v>
      </c>
      <c r="B358" s="20" t="s">
        <v>14</v>
      </c>
      <c r="C358" s="20">
        <v>2</v>
      </c>
      <c r="D358" s="20">
        <v>3.1</v>
      </c>
      <c r="E358" s="20">
        <v>1.99</v>
      </c>
      <c r="F358">
        <f t="shared" si="49"/>
        <v>1.11</v>
      </c>
      <c r="G358" s="18">
        <f t="shared" si="50"/>
        <v>0.358064516129032</v>
      </c>
      <c r="H358">
        <f t="shared" si="48"/>
        <v>2.22</v>
      </c>
    </row>
    <row r="359" spans="1:8">
      <c r="A359" s="17">
        <v>8232</v>
      </c>
      <c r="B359" s="20" t="s">
        <v>32</v>
      </c>
      <c r="C359" s="20">
        <v>2</v>
      </c>
      <c r="D359" s="20">
        <v>0.5</v>
      </c>
      <c r="E359" s="20">
        <v>0.24</v>
      </c>
      <c r="F359">
        <f t="shared" si="49"/>
        <v>0.26</v>
      </c>
      <c r="G359" s="18">
        <f t="shared" si="50"/>
        <v>0.52</v>
      </c>
      <c r="H359">
        <f t="shared" si="48"/>
        <v>0.52</v>
      </c>
    </row>
    <row r="360" spans="1:8">
      <c r="A360" s="17">
        <v>8234</v>
      </c>
      <c r="B360" s="20" t="s">
        <v>14</v>
      </c>
      <c r="C360" s="20">
        <v>2</v>
      </c>
      <c r="D360" s="20">
        <v>2.19</v>
      </c>
      <c r="E360" s="20">
        <v>1.14</v>
      </c>
      <c r="F360">
        <f t="shared" si="49"/>
        <v>1.05</v>
      </c>
      <c r="G360" s="18">
        <f t="shared" si="50"/>
        <v>0.479452054794521</v>
      </c>
      <c r="H360">
        <f t="shared" si="48"/>
        <v>2.1</v>
      </c>
    </row>
    <row r="361" spans="1:8">
      <c r="A361" s="17">
        <v>8234</v>
      </c>
      <c r="B361" s="20" t="s">
        <v>1019</v>
      </c>
      <c r="C361" s="20">
        <v>2</v>
      </c>
      <c r="D361" s="20">
        <v>2.19</v>
      </c>
      <c r="E361" s="20">
        <v>1.01</v>
      </c>
      <c r="F361">
        <f t="shared" si="49"/>
        <v>1.18</v>
      </c>
      <c r="G361" s="18">
        <f t="shared" si="50"/>
        <v>0.538812785388128</v>
      </c>
      <c r="H361">
        <f t="shared" si="48"/>
        <v>2.36</v>
      </c>
    </row>
    <row r="362" spans="1:8">
      <c r="A362" s="17">
        <v>8234</v>
      </c>
      <c r="B362" s="20" t="s">
        <v>160</v>
      </c>
      <c r="C362" s="20">
        <v>2</v>
      </c>
      <c r="D362" s="20">
        <v>0.8</v>
      </c>
      <c r="E362" s="20">
        <v>0.4</v>
      </c>
      <c r="F362">
        <f t="shared" si="49"/>
        <v>0.4</v>
      </c>
      <c r="G362" s="18">
        <f t="shared" si="50"/>
        <v>0.5</v>
      </c>
      <c r="H362">
        <f t="shared" si="48"/>
        <v>0.8</v>
      </c>
    </row>
    <row r="363" spans="1:8">
      <c r="A363" s="17">
        <v>8235</v>
      </c>
      <c r="B363" s="20" t="s">
        <v>14</v>
      </c>
      <c r="C363" s="20">
        <v>2</v>
      </c>
      <c r="D363" s="20">
        <v>4.082</v>
      </c>
      <c r="E363">
        <v>2.12</v>
      </c>
      <c r="F363">
        <f t="shared" si="49"/>
        <v>1.962</v>
      </c>
      <c r="G363" s="18">
        <f t="shared" si="50"/>
        <v>0.480646741793239</v>
      </c>
      <c r="H363">
        <f t="shared" si="48"/>
        <v>3.924</v>
      </c>
    </row>
    <row r="364" spans="1:8">
      <c r="A364" s="17">
        <v>8236</v>
      </c>
      <c r="B364" s="20" t="s">
        <v>14</v>
      </c>
      <c r="C364" s="20">
        <v>2</v>
      </c>
      <c r="D364" s="20">
        <v>2.31</v>
      </c>
      <c r="E364">
        <v>1.48</v>
      </c>
      <c r="F364">
        <f t="shared" si="49"/>
        <v>0.83</v>
      </c>
      <c r="G364" s="18">
        <f t="shared" si="50"/>
        <v>0.359307359307359</v>
      </c>
      <c r="H364">
        <f t="shared" si="48"/>
        <v>1.66</v>
      </c>
    </row>
    <row r="365" spans="1:8">
      <c r="A365" s="17">
        <v>8236</v>
      </c>
      <c r="B365" s="20" t="s">
        <v>32</v>
      </c>
      <c r="C365" s="20">
        <v>2</v>
      </c>
      <c r="D365" s="20">
        <v>2.31</v>
      </c>
      <c r="E365">
        <v>1.21</v>
      </c>
      <c r="F365">
        <f t="shared" si="49"/>
        <v>1.1</v>
      </c>
      <c r="G365" s="18">
        <f t="shared" si="50"/>
        <v>0.476190476190476</v>
      </c>
      <c r="H365">
        <f t="shared" si="48"/>
        <v>2.2</v>
      </c>
    </row>
    <row r="366" spans="1:8">
      <c r="A366" s="17">
        <v>8236</v>
      </c>
      <c r="B366" s="20" t="s">
        <v>138</v>
      </c>
      <c r="C366" s="20">
        <v>2</v>
      </c>
      <c r="D366" s="20">
        <v>0.25</v>
      </c>
      <c r="E366">
        <v>0.13</v>
      </c>
      <c r="F366">
        <f t="shared" si="49"/>
        <v>0.12</v>
      </c>
      <c r="G366" s="18">
        <f t="shared" si="50"/>
        <v>0.48</v>
      </c>
      <c r="H366">
        <f t="shared" si="48"/>
        <v>0.24</v>
      </c>
    </row>
    <row r="367" spans="1:8">
      <c r="A367" s="17">
        <v>8237</v>
      </c>
      <c r="B367" s="20" t="s">
        <v>14</v>
      </c>
      <c r="C367" s="20">
        <v>2</v>
      </c>
      <c r="D367" s="20">
        <v>3.61</v>
      </c>
      <c r="E367" s="20">
        <v>2.2</v>
      </c>
      <c r="F367">
        <f t="shared" si="49"/>
        <v>1.41</v>
      </c>
      <c r="G367" s="18">
        <f t="shared" si="50"/>
        <v>0.390581717451523</v>
      </c>
      <c r="H367">
        <f t="shared" si="48"/>
        <v>2.82</v>
      </c>
    </row>
    <row r="368" spans="1:8">
      <c r="A368" s="19">
        <v>8237</v>
      </c>
      <c r="B368" s="20" t="s">
        <v>32</v>
      </c>
      <c r="C368" s="20">
        <v>2</v>
      </c>
      <c r="D368" s="20">
        <v>0.83</v>
      </c>
      <c r="E368" s="20">
        <v>0.39</v>
      </c>
      <c r="F368">
        <f t="shared" si="49"/>
        <v>0.44</v>
      </c>
      <c r="G368" s="18">
        <f t="shared" si="50"/>
        <v>0.530120481927711</v>
      </c>
      <c r="H368">
        <f t="shared" si="48"/>
        <v>0.88</v>
      </c>
    </row>
    <row r="369" spans="1:8">
      <c r="A369" s="19">
        <v>8238</v>
      </c>
      <c r="B369" s="20" t="s">
        <v>14</v>
      </c>
      <c r="C369" s="20">
        <v>2</v>
      </c>
      <c r="D369" s="20">
        <v>3.22</v>
      </c>
      <c r="E369" s="20">
        <v>1.86</v>
      </c>
      <c r="F369">
        <f t="shared" si="49"/>
        <v>1.36</v>
      </c>
      <c r="G369" s="18">
        <f t="shared" si="50"/>
        <v>0.422360248447205</v>
      </c>
      <c r="H369">
        <f t="shared" si="48"/>
        <v>2.72</v>
      </c>
    </row>
    <row r="370" spans="1:8">
      <c r="A370" s="19">
        <v>8238</v>
      </c>
      <c r="B370" s="20" t="s">
        <v>32</v>
      </c>
      <c r="C370" s="20">
        <v>2</v>
      </c>
      <c r="D370" s="20">
        <v>0.76</v>
      </c>
      <c r="E370" s="20">
        <v>0.42</v>
      </c>
      <c r="F370">
        <f t="shared" si="49"/>
        <v>0.34</v>
      </c>
      <c r="G370" s="18">
        <f t="shared" si="50"/>
        <v>0.447368421052632</v>
      </c>
      <c r="H370">
        <f t="shared" si="48"/>
        <v>0.68</v>
      </c>
    </row>
    <row r="371" spans="1:8">
      <c r="A371" s="19">
        <v>8238</v>
      </c>
      <c r="B371" s="20" t="s">
        <v>786</v>
      </c>
      <c r="C371" s="20">
        <v>2</v>
      </c>
      <c r="D371" s="20">
        <v>0.32</v>
      </c>
      <c r="E371" s="20">
        <v>0.16</v>
      </c>
      <c r="F371">
        <f t="shared" si="49"/>
        <v>0.16</v>
      </c>
      <c r="G371" s="18">
        <f t="shared" si="50"/>
        <v>0.5</v>
      </c>
      <c r="H371">
        <f t="shared" si="48"/>
        <v>0.32</v>
      </c>
    </row>
    <row r="372" spans="1:8">
      <c r="A372" s="19">
        <v>8238</v>
      </c>
      <c r="B372" s="20" t="s">
        <v>788</v>
      </c>
      <c r="C372" s="20">
        <v>2</v>
      </c>
      <c r="D372" s="20">
        <v>0.19</v>
      </c>
      <c r="E372" s="20">
        <v>0.08</v>
      </c>
      <c r="F372">
        <f t="shared" si="49"/>
        <v>0.11</v>
      </c>
      <c r="G372" s="18">
        <f t="shared" si="50"/>
        <v>0.578947368421053</v>
      </c>
      <c r="H372">
        <f t="shared" si="48"/>
        <v>0.22</v>
      </c>
    </row>
    <row r="373" spans="1:8">
      <c r="A373" s="17">
        <v>8240</v>
      </c>
      <c r="B373" s="20" t="s">
        <v>14</v>
      </c>
      <c r="C373" s="20">
        <v>2</v>
      </c>
      <c r="D373" s="20">
        <v>2.19</v>
      </c>
      <c r="E373">
        <v>1.35</v>
      </c>
      <c r="F373">
        <f t="shared" si="49"/>
        <v>0.84</v>
      </c>
      <c r="G373" s="18">
        <f t="shared" si="50"/>
        <v>0.383561643835616</v>
      </c>
      <c r="H373">
        <f t="shared" si="48"/>
        <v>1.68</v>
      </c>
    </row>
    <row r="374" spans="1:8">
      <c r="A374" s="17">
        <v>8240</v>
      </c>
      <c r="B374" s="20" t="s">
        <v>32</v>
      </c>
      <c r="C374" s="20">
        <v>2</v>
      </c>
      <c r="D374" s="20">
        <v>2.19</v>
      </c>
      <c r="E374">
        <v>1.1</v>
      </c>
      <c r="F374">
        <f t="shared" si="49"/>
        <v>1.09</v>
      </c>
      <c r="G374" s="18">
        <f t="shared" si="50"/>
        <v>0.497716894977169</v>
      </c>
      <c r="H374">
        <f t="shared" si="48"/>
        <v>2.18</v>
      </c>
    </row>
    <row r="375" spans="1:8">
      <c r="A375" s="17">
        <v>8240</v>
      </c>
      <c r="B375" s="20" t="s">
        <v>160</v>
      </c>
      <c r="C375" s="20">
        <v>2</v>
      </c>
      <c r="D375" s="20">
        <v>0.27</v>
      </c>
      <c r="E375">
        <v>0.15</v>
      </c>
      <c r="F375">
        <f t="shared" si="49"/>
        <v>0.12</v>
      </c>
      <c r="G375" s="18">
        <f t="shared" si="50"/>
        <v>0.444444444444444</v>
      </c>
      <c r="H375">
        <f t="shared" si="48"/>
        <v>0.24</v>
      </c>
    </row>
    <row r="376" spans="1:8">
      <c r="A376" s="17">
        <v>8240</v>
      </c>
      <c r="B376" s="20" t="s">
        <v>91</v>
      </c>
      <c r="C376" s="20">
        <v>2</v>
      </c>
    </row>
    <row r="377" spans="1:8">
      <c r="A377" s="17">
        <v>8241</v>
      </c>
      <c r="B377" s="20" t="s">
        <v>14</v>
      </c>
      <c r="C377" s="20">
        <v>2</v>
      </c>
      <c r="D377">
        <v>2.65</v>
      </c>
      <c r="E377">
        <v>1.62</v>
      </c>
      <c r="F377">
        <f t="shared" si="49"/>
        <v>1.03</v>
      </c>
      <c r="G377" s="18">
        <f t="shared" si="50"/>
        <v>0.388679245283019</v>
      </c>
      <c r="H377">
        <f t="shared" si="48"/>
        <v>2.06</v>
      </c>
    </row>
    <row r="378" spans="1:8">
      <c r="A378" s="17">
        <v>8241</v>
      </c>
      <c r="B378" s="20" t="s">
        <v>32</v>
      </c>
      <c r="C378" s="20">
        <v>2</v>
      </c>
      <c r="D378">
        <v>2.21</v>
      </c>
      <c r="E378">
        <v>1.19</v>
      </c>
      <c r="F378">
        <f t="shared" si="49"/>
        <v>1.02</v>
      </c>
      <c r="G378" s="18">
        <f t="shared" si="50"/>
        <v>0.461538461538462</v>
      </c>
      <c r="H378">
        <f t="shared" si="48"/>
        <v>2.04</v>
      </c>
    </row>
    <row r="379" spans="1:8">
      <c r="A379" s="17">
        <v>8245</v>
      </c>
      <c r="B379" s="20" t="s">
        <v>14</v>
      </c>
      <c r="C379" s="20">
        <v>2</v>
      </c>
      <c r="D379">
        <v>3.09</v>
      </c>
    </row>
    <row r="380" spans="1:8">
      <c r="A380" s="17">
        <v>8245</v>
      </c>
      <c r="B380" s="20" t="s">
        <v>32</v>
      </c>
      <c r="C380" s="20">
        <v>2</v>
      </c>
      <c r="D380">
        <v>0.23</v>
      </c>
    </row>
    <row r="381" spans="1:8">
      <c r="A381" s="17">
        <v>8252</v>
      </c>
      <c r="B381" s="31" t="s">
        <v>14</v>
      </c>
      <c r="C381" s="20">
        <v>2</v>
      </c>
      <c r="D381">
        <v>2.04427083333333</v>
      </c>
      <c r="E381">
        <v>1.16</v>
      </c>
      <c r="F381">
        <f t="shared" ref="F381:F388" si="51">D381-E381</f>
        <v>0.88427083333333</v>
      </c>
      <c r="G381" s="18">
        <f t="shared" si="50"/>
        <v>0.432560509554139</v>
      </c>
      <c r="H381">
        <f t="shared" si="48"/>
        <v>1.76854166666666</v>
      </c>
    </row>
    <row r="382" spans="1:8">
      <c r="A382" s="17">
        <v>8252</v>
      </c>
      <c r="B382" s="31" t="s">
        <v>32</v>
      </c>
      <c r="C382" s="20">
        <v>2</v>
      </c>
      <c r="D382">
        <v>1.75223214285714</v>
      </c>
      <c r="E382">
        <v>1.01</v>
      </c>
      <c r="F382">
        <f t="shared" si="51"/>
        <v>0.74223214285714</v>
      </c>
      <c r="G382" s="18">
        <f t="shared" si="50"/>
        <v>0.423592356687897</v>
      </c>
      <c r="H382">
        <f t="shared" si="48"/>
        <v>1.48446428571428</v>
      </c>
    </row>
    <row r="383" spans="1:8">
      <c r="A383" s="17">
        <v>8252</v>
      </c>
      <c r="B383" s="31" t="s">
        <v>160</v>
      </c>
      <c r="C383" s="20">
        <v>2</v>
      </c>
      <c r="D383">
        <v>0.0901884191176471</v>
      </c>
      <c r="E383">
        <v>0.06</v>
      </c>
      <c r="F383">
        <f t="shared" si="51"/>
        <v>0.0301884191176471</v>
      </c>
      <c r="G383" s="18">
        <f t="shared" si="50"/>
        <v>0.334726114649682</v>
      </c>
      <c r="H383">
        <f t="shared" si="48"/>
        <v>0.0603768382352942</v>
      </c>
    </row>
    <row r="384" spans="1:8">
      <c r="A384" s="17">
        <v>8252</v>
      </c>
      <c r="B384" s="31" t="s">
        <v>346</v>
      </c>
      <c r="C384" s="20">
        <v>2</v>
      </c>
      <c r="D384">
        <v>0.216452205882353</v>
      </c>
      <c r="E384">
        <v>0.1</v>
      </c>
      <c r="F384">
        <f t="shared" si="51"/>
        <v>0.116452205882353</v>
      </c>
      <c r="G384" s="18">
        <f t="shared" si="50"/>
        <v>0.538004246284501</v>
      </c>
      <c r="H384">
        <f t="shared" si="48"/>
        <v>0.232904411764706</v>
      </c>
    </row>
    <row r="385" spans="1:13">
      <c r="A385" s="17">
        <v>8252</v>
      </c>
      <c r="B385" s="31" t="s">
        <v>808</v>
      </c>
      <c r="C385" s="20">
        <v>2</v>
      </c>
      <c r="D385">
        <v>0.43665625</v>
      </c>
      <c r="E385">
        <v>0.23</v>
      </c>
      <c r="F385">
        <f t="shared" si="51"/>
        <v>0.20665625</v>
      </c>
      <c r="G385" s="18">
        <f t="shared" si="50"/>
        <v>0.473269877621126</v>
      </c>
      <c r="H385">
        <f t="shared" si="48"/>
        <v>0.4133125</v>
      </c>
    </row>
    <row r="386" spans="1:13">
      <c r="A386" s="17">
        <v>8252</v>
      </c>
      <c r="B386" s="31" t="s">
        <v>808</v>
      </c>
      <c r="C386" s="20">
        <v>2</v>
      </c>
      <c r="D386">
        <v>0.291104166666667</v>
      </c>
      <c r="E386">
        <v>0.16</v>
      </c>
      <c r="F386">
        <f t="shared" si="51"/>
        <v>0.131104166666667</v>
      </c>
      <c r="G386" s="18">
        <f t="shared" si="50"/>
        <v>0.45036856795248</v>
      </c>
      <c r="H386">
        <f t="shared" si="48"/>
        <v>0.262208333333334</v>
      </c>
    </row>
    <row r="387" spans="1:13">
      <c r="A387" s="17">
        <v>8252</v>
      </c>
      <c r="B387" s="31" t="s">
        <v>808</v>
      </c>
      <c r="C387" s="20">
        <v>2</v>
      </c>
      <c r="D387">
        <v>0.0438058035714286</v>
      </c>
      <c r="F387">
        <v>0</v>
      </c>
      <c r="G387" s="18">
        <f t="shared" si="50"/>
        <v>0</v>
      </c>
      <c r="H387">
        <f t="shared" si="48"/>
        <v>0</v>
      </c>
    </row>
    <row r="388" spans="1:13">
      <c r="A388" s="17">
        <v>8252</v>
      </c>
      <c r="B388" s="31" t="s">
        <v>813</v>
      </c>
      <c r="C388" s="20">
        <v>2</v>
      </c>
      <c r="D388">
        <v>0.13188</v>
      </c>
      <c r="E388">
        <v>0.07</v>
      </c>
      <c r="F388">
        <f t="shared" si="51"/>
        <v>0.06188</v>
      </c>
      <c r="G388" s="18">
        <f t="shared" si="50"/>
        <v>0.469214437367304</v>
      </c>
      <c r="H388">
        <f t="shared" si="48"/>
        <v>0.12376</v>
      </c>
    </row>
    <row r="389" spans="1:13">
      <c r="A389" s="17">
        <v>8253</v>
      </c>
      <c r="B389" s="20" t="s">
        <v>14</v>
      </c>
      <c r="C389" s="20">
        <v>2</v>
      </c>
      <c r="D389" s="20">
        <v>2.55</v>
      </c>
      <c r="E389" s="20">
        <v>1.24</v>
      </c>
      <c r="F389">
        <f t="shared" ref="F389:F431" si="52">D389-E389</f>
        <v>1.31</v>
      </c>
      <c r="G389" s="18">
        <f t="shared" ref="G389:G421" si="53">F389/D389</f>
        <v>0.513725490196078</v>
      </c>
      <c r="H389">
        <f>F389*C376</f>
        <v>2.62</v>
      </c>
    </row>
    <row r="390" spans="1:13">
      <c r="A390" s="17">
        <v>8253</v>
      </c>
      <c r="B390" s="20" t="s">
        <v>32</v>
      </c>
      <c r="C390" s="20">
        <v>2</v>
      </c>
      <c r="D390" s="20">
        <v>2.55</v>
      </c>
      <c r="E390" s="20">
        <v>1.01</v>
      </c>
      <c r="F390">
        <f t="shared" si="52"/>
        <v>1.54</v>
      </c>
      <c r="G390" s="18">
        <f t="shared" si="53"/>
        <v>0.603921568627451</v>
      </c>
      <c r="H390">
        <f t="shared" ref="H390:H421" si="54">F390*C389</f>
        <v>3.08</v>
      </c>
    </row>
    <row r="391" spans="1:13">
      <c r="A391" s="17">
        <v>8253</v>
      </c>
      <c r="B391" s="20" t="s">
        <v>645</v>
      </c>
      <c r="C391" s="20">
        <v>2</v>
      </c>
      <c r="D391" s="20">
        <v>0.17</v>
      </c>
      <c r="E391" s="20">
        <v>0.14</v>
      </c>
      <c r="F391">
        <f t="shared" si="52"/>
        <v>0.03</v>
      </c>
      <c r="G391" s="18">
        <f t="shared" si="53"/>
        <v>0.176470588235294</v>
      </c>
      <c r="H391">
        <f t="shared" si="54"/>
        <v>0.06</v>
      </c>
    </row>
    <row r="392" spans="1:13">
      <c r="A392" s="17">
        <v>8253</v>
      </c>
      <c r="B392" s="20" t="s">
        <v>822</v>
      </c>
      <c r="C392" s="20">
        <v>2</v>
      </c>
      <c r="D392" s="20">
        <v>0.28</v>
      </c>
      <c r="E392" s="20">
        <v>0.13</v>
      </c>
      <c r="F392">
        <f t="shared" si="52"/>
        <v>0.15</v>
      </c>
      <c r="G392" s="18">
        <f t="shared" si="53"/>
        <v>0.535714285714286</v>
      </c>
      <c r="H392">
        <f t="shared" si="54"/>
        <v>0.3</v>
      </c>
    </row>
    <row r="393" spans="1:13">
      <c r="A393" s="17">
        <v>8254</v>
      </c>
      <c r="B393" s="20" t="s">
        <v>14</v>
      </c>
      <c r="C393" s="20">
        <v>2</v>
      </c>
      <c r="D393" s="20">
        <v>5.63</v>
      </c>
      <c r="E393" s="20">
        <v>2.62</v>
      </c>
      <c r="F393">
        <f t="shared" si="52"/>
        <v>3.01</v>
      </c>
      <c r="G393" s="18">
        <f t="shared" si="53"/>
        <v>0.534635879218472</v>
      </c>
      <c r="H393">
        <f t="shared" si="54"/>
        <v>6.02</v>
      </c>
      <c r="J393">
        <v>5.63</v>
      </c>
      <c r="K393">
        <v>5</v>
      </c>
      <c r="L393">
        <v>6</v>
      </c>
      <c r="M393">
        <f>J393*K393-L393</f>
        <v>22.15</v>
      </c>
    </row>
    <row r="394" spans="1:13">
      <c r="A394" s="17">
        <v>8254</v>
      </c>
      <c r="B394" s="20" t="s">
        <v>32</v>
      </c>
      <c r="C394" s="20">
        <v>2</v>
      </c>
      <c r="D394" s="20">
        <v>5.63</v>
      </c>
      <c r="E394" s="20">
        <v>2.15</v>
      </c>
      <c r="F394">
        <f t="shared" si="52"/>
        <v>3.48</v>
      </c>
      <c r="G394" s="18">
        <f t="shared" si="53"/>
        <v>0.618117229129662</v>
      </c>
      <c r="H394">
        <f t="shared" si="54"/>
        <v>6.96</v>
      </c>
      <c r="J394">
        <v>3.9</v>
      </c>
      <c r="K394">
        <v>5</v>
      </c>
      <c r="L394">
        <v>2.56</v>
      </c>
      <c r="M394">
        <f>J394*K394-L394</f>
        <v>16.94</v>
      </c>
    </row>
    <row r="395" spans="1:13">
      <c r="A395" s="17">
        <v>8255</v>
      </c>
      <c r="B395" s="13" t="s">
        <v>14</v>
      </c>
      <c r="C395" s="20">
        <v>2</v>
      </c>
      <c r="D395" s="26">
        <v>1.753</v>
      </c>
      <c r="E395" s="20">
        <v>1.15</v>
      </c>
      <c r="F395">
        <f t="shared" si="52"/>
        <v>0.603</v>
      </c>
      <c r="G395" s="18">
        <f t="shared" si="53"/>
        <v>0.343981745579007</v>
      </c>
      <c r="H395">
        <f>F395*C392</f>
        <v>1.206</v>
      </c>
    </row>
    <row r="396" spans="1:13">
      <c r="A396" s="17">
        <v>8255</v>
      </c>
      <c r="B396" s="13" t="s">
        <v>32</v>
      </c>
      <c r="C396" s="20">
        <v>2</v>
      </c>
      <c r="D396" s="26">
        <v>1.753</v>
      </c>
      <c r="E396" s="20">
        <v>0.98</v>
      </c>
      <c r="F396">
        <f t="shared" si="52"/>
        <v>0.773</v>
      </c>
      <c r="G396" s="18">
        <f t="shared" si="53"/>
        <v>0.440958357102111</v>
      </c>
      <c r="H396">
        <f t="shared" si="54"/>
        <v>1.546</v>
      </c>
    </row>
    <row r="397" spans="1:13">
      <c r="A397" s="17">
        <v>8255</v>
      </c>
      <c r="B397" s="13" t="s">
        <v>832</v>
      </c>
      <c r="C397" s="20">
        <v>2</v>
      </c>
      <c r="D397" s="26">
        <v>0.07</v>
      </c>
      <c r="E397" s="20">
        <v>0.05</v>
      </c>
      <c r="F397">
        <f t="shared" si="52"/>
        <v>0.02</v>
      </c>
      <c r="G397" s="18">
        <f t="shared" si="53"/>
        <v>0.285714285714286</v>
      </c>
      <c r="H397">
        <f t="shared" si="54"/>
        <v>0.04</v>
      </c>
    </row>
    <row r="398" spans="1:13">
      <c r="A398" s="17">
        <v>8255</v>
      </c>
      <c r="B398" s="13" t="s">
        <v>835</v>
      </c>
      <c r="C398" s="20">
        <v>2</v>
      </c>
      <c r="D398" s="26">
        <v>0.63</v>
      </c>
      <c r="E398" s="20"/>
      <c r="F398">
        <v>0</v>
      </c>
      <c r="G398" s="18">
        <f t="shared" si="53"/>
        <v>0</v>
      </c>
      <c r="H398">
        <f t="shared" si="54"/>
        <v>0</v>
      </c>
    </row>
    <row r="399" spans="1:13">
      <c r="A399" s="17">
        <v>8255</v>
      </c>
      <c r="B399" s="13" t="s">
        <v>808</v>
      </c>
      <c r="C399" s="20">
        <v>2</v>
      </c>
      <c r="D399" s="26">
        <v>0.35</v>
      </c>
      <c r="E399" s="20">
        <v>0.19</v>
      </c>
      <c r="F399">
        <f t="shared" si="52"/>
        <v>0.16</v>
      </c>
      <c r="G399" s="18">
        <f t="shared" si="53"/>
        <v>0.457142857142857</v>
      </c>
      <c r="H399">
        <f t="shared" si="54"/>
        <v>0.32</v>
      </c>
    </row>
    <row r="400" spans="1:13">
      <c r="A400" s="17">
        <v>8255</v>
      </c>
      <c r="B400" s="13" t="s">
        <v>808</v>
      </c>
      <c r="C400" s="20">
        <v>2</v>
      </c>
      <c r="D400" s="26">
        <v>0.22</v>
      </c>
      <c r="E400" s="20">
        <v>0.12</v>
      </c>
      <c r="F400">
        <f t="shared" si="52"/>
        <v>0.1</v>
      </c>
      <c r="G400" s="18">
        <f t="shared" si="53"/>
        <v>0.454545454545455</v>
      </c>
      <c r="H400">
        <f t="shared" si="54"/>
        <v>0.2</v>
      </c>
    </row>
    <row r="401" spans="1:8">
      <c r="A401" s="17">
        <v>8255</v>
      </c>
      <c r="B401" s="13" t="s">
        <v>813</v>
      </c>
      <c r="C401" s="20">
        <v>2</v>
      </c>
      <c r="D401" s="26">
        <v>0.14</v>
      </c>
      <c r="E401" s="20">
        <v>0.07</v>
      </c>
      <c r="F401">
        <f t="shared" si="52"/>
        <v>0.07</v>
      </c>
      <c r="G401" s="18">
        <f t="shared" si="53"/>
        <v>0.5</v>
      </c>
      <c r="H401">
        <f t="shared" si="54"/>
        <v>0.14</v>
      </c>
    </row>
    <row r="402" spans="1:8">
      <c r="A402" s="17">
        <v>8257</v>
      </c>
      <c r="B402" s="13" t="s">
        <v>14</v>
      </c>
      <c r="C402" s="20">
        <v>2</v>
      </c>
      <c r="D402" s="30">
        <v>1.91</v>
      </c>
      <c r="E402" s="20">
        <v>1.85</v>
      </c>
      <c r="F402">
        <f t="shared" si="52"/>
        <v>0.0599999999999998</v>
      </c>
      <c r="G402" s="18">
        <f t="shared" si="53"/>
        <v>0.0314136125654449</v>
      </c>
      <c r="H402">
        <f t="shared" si="54"/>
        <v>0.12</v>
      </c>
    </row>
    <row r="403" spans="1:8">
      <c r="A403" s="17">
        <v>8257</v>
      </c>
      <c r="B403" s="13" t="s">
        <v>822</v>
      </c>
      <c r="C403" s="20">
        <v>2</v>
      </c>
      <c r="D403" s="30"/>
      <c r="E403" s="20"/>
    </row>
    <row r="404" spans="1:8">
      <c r="A404" s="17">
        <v>8258</v>
      </c>
      <c r="B404" s="13" t="s">
        <v>14</v>
      </c>
      <c r="C404" s="20">
        <v>2</v>
      </c>
      <c r="D404" s="30"/>
      <c r="E404" s="20"/>
    </row>
    <row r="405" spans="1:8">
      <c r="A405" s="17">
        <v>8258</v>
      </c>
      <c r="B405" s="13" t="s">
        <v>917</v>
      </c>
      <c r="C405" s="20">
        <v>2</v>
      </c>
      <c r="D405" s="30"/>
      <c r="E405" s="20"/>
    </row>
    <row r="406" spans="1:8">
      <c r="A406" s="17">
        <v>8259</v>
      </c>
      <c r="B406" s="13" t="s">
        <v>14</v>
      </c>
      <c r="C406" s="20">
        <v>2</v>
      </c>
      <c r="D406" s="30">
        <v>1.26</v>
      </c>
      <c r="E406" s="22">
        <v>1.2</v>
      </c>
      <c r="F406">
        <f t="shared" si="52"/>
        <v>0.0600000000000001</v>
      </c>
      <c r="G406" s="18">
        <f t="shared" si="53"/>
        <v>0.0476190476190477</v>
      </c>
      <c r="H406">
        <f t="shared" ref="H406:H408" si="55">F406*C399</f>
        <v>0.12</v>
      </c>
    </row>
    <row r="407" spans="1:8">
      <c r="A407" s="17">
        <v>8259</v>
      </c>
      <c r="B407" s="13" t="s">
        <v>32</v>
      </c>
      <c r="C407" s="20">
        <v>2</v>
      </c>
      <c r="D407" s="30">
        <v>1.26</v>
      </c>
      <c r="E407" s="20">
        <v>0</v>
      </c>
      <c r="F407">
        <f t="shared" si="52"/>
        <v>1.26</v>
      </c>
      <c r="G407" s="18">
        <f t="shared" si="53"/>
        <v>1</v>
      </c>
      <c r="H407">
        <f t="shared" si="55"/>
        <v>2.52</v>
      </c>
    </row>
    <row r="408" spans="1:8">
      <c r="A408" s="17">
        <v>8268</v>
      </c>
      <c r="B408" s="13" t="s">
        <v>14</v>
      </c>
      <c r="C408" s="20">
        <v>2</v>
      </c>
      <c r="D408" s="30">
        <v>2.21</v>
      </c>
      <c r="E408" s="20">
        <v>1.3</v>
      </c>
      <c r="F408">
        <f t="shared" si="52"/>
        <v>0.91</v>
      </c>
      <c r="G408" s="18">
        <f t="shared" si="53"/>
        <v>0.411764705882353</v>
      </c>
      <c r="H408">
        <f t="shared" si="55"/>
        <v>1.82</v>
      </c>
    </row>
    <row r="409" spans="1:8">
      <c r="A409" s="17">
        <v>8268</v>
      </c>
      <c r="B409" s="13" t="s">
        <v>32</v>
      </c>
      <c r="C409" s="20">
        <v>2</v>
      </c>
      <c r="D409" s="30">
        <v>2.21</v>
      </c>
      <c r="E409" s="20">
        <v>0.93</v>
      </c>
      <c r="F409">
        <f t="shared" si="52"/>
        <v>1.28</v>
      </c>
      <c r="G409" s="18">
        <f t="shared" si="53"/>
        <v>0.579185520361991</v>
      </c>
      <c r="H409">
        <f t="shared" si="54"/>
        <v>2.56</v>
      </c>
    </row>
    <row r="410" spans="1:8">
      <c r="A410" s="17">
        <v>8268</v>
      </c>
      <c r="B410" s="13" t="s">
        <v>160</v>
      </c>
      <c r="C410" s="20">
        <v>2</v>
      </c>
      <c r="D410" s="30">
        <v>0.29</v>
      </c>
      <c r="E410" s="20">
        <v>0.14</v>
      </c>
      <c r="F410">
        <f t="shared" si="52"/>
        <v>0.15</v>
      </c>
      <c r="G410" s="18">
        <f t="shared" si="53"/>
        <v>0.517241379310345</v>
      </c>
      <c r="H410">
        <f t="shared" si="54"/>
        <v>0.3</v>
      </c>
    </row>
    <row r="411" spans="1:8">
      <c r="A411" s="17">
        <v>8270</v>
      </c>
      <c r="B411" s="13" t="s">
        <v>14</v>
      </c>
      <c r="C411" s="20">
        <v>2</v>
      </c>
      <c r="D411" s="30">
        <v>2.45</v>
      </c>
      <c r="E411" s="20">
        <v>1.36</v>
      </c>
      <c r="F411">
        <f t="shared" si="52"/>
        <v>1.09</v>
      </c>
      <c r="G411" s="18">
        <f t="shared" si="53"/>
        <v>0.444897959183673</v>
      </c>
      <c r="H411">
        <f t="shared" si="54"/>
        <v>2.18</v>
      </c>
    </row>
    <row r="412" spans="1:8">
      <c r="A412" s="17">
        <v>8270</v>
      </c>
      <c r="B412" s="13" t="s">
        <v>32</v>
      </c>
      <c r="C412" s="20">
        <v>2</v>
      </c>
      <c r="D412" s="30">
        <v>2.05</v>
      </c>
      <c r="E412" s="20">
        <v>1.01</v>
      </c>
      <c r="F412">
        <f t="shared" si="52"/>
        <v>1.04</v>
      </c>
      <c r="G412" s="18">
        <f t="shared" si="53"/>
        <v>0.507317073170732</v>
      </c>
      <c r="H412">
        <f t="shared" si="54"/>
        <v>2.08</v>
      </c>
    </row>
    <row r="413" spans="1:8">
      <c r="A413" s="17">
        <v>8270</v>
      </c>
      <c r="B413" s="13" t="s">
        <v>864</v>
      </c>
      <c r="C413" s="20">
        <v>2</v>
      </c>
      <c r="D413" s="30">
        <v>0.07</v>
      </c>
      <c r="E413" s="20">
        <v>0.06</v>
      </c>
      <c r="F413">
        <f t="shared" si="52"/>
        <v>0.01</v>
      </c>
      <c r="G413" s="18">
        <f t="shared" si="53"/>
        <v>0.142857142857143</v>
      </c>
      <c r="H413">
        <f t="shared" si="54"/>
        <v>0.02</v>
      </c>
    </row>
    <row r="414" spans="1:8">
      <c r="A414" s="17">
        <v>8271</v>
      </c>
      <c r="B414" s="13" t="s">
        <v>14</v>
      </c>
      <c r="C414" s="20">
        <v>2</v>
      </c>
      <c r="D414" s="30">
        <v>2.11</v>
      </c>
      <c r="E414" s="22">
        <v>1</v>
      </c>
      <c r="F414">
        <f t="shared" si="52"/>
        <v>1.11</v>
      </c>
      <c r="G414" s="18">
        <f t="shared" si="53"/>
        <v>0.5260663507109</v>
      </c>
      <c r="H414">
        <f t="shared" si="54"/>
        <v>2.22</v>
      </c>
    </row>
    <row r="415" spans="1:8">
      <c r="A415" s="17">
        <v>8271</v>
      </c>
      <c r="B415" s="13" t="s">
        <v>32</v>
      </c>
      <c r="C415" s="20">
        <v>2</v>
      </c>
      <c r="D415" s="30">
        <v>1.76</v>
      </c>
      <c r="E415" s="22">
        <v>1</v>
      </c>
      <c r="F415">
        <f t="shared" si="52"/>
        <v>0.76</v>
      </c>
      <c r="G415" s="18">
        <f t="shared" si="53"/>
        <v>0.431818181818182</v>
      </c>
      <c r="H415">
        <f t="shared" si="54"/>
        <v>1.52</v>
      </c>
    </row>
    <row r="416" spans="1:8">
      <c r="A416" s="17">
        <v>8271</v>
      </c>
      <c r="B416" s="13" t="s">
        <v>864</v>
      </c>
      <c r="C416" s="20">
        <v>2</v>
      </c>
      <c r="D416" s="30">
        <v>0.13</v>
      </c>
      <c r="E416" s="22">
        <v>0.4</v>
      </c>
      <c r="F416">
        <f t="shared" si="52"/>
        <v>-0.27</v>
      </c>
      <c r="G416" s="18">
        <f t="shared" si="53"/>
        <v>-2.07692307692308</v>
      </c>
      <c r="H416">
        <f t="shared" si="54"/>
        <v>-0.54</v>
      </c>
    </row>
    <row r="417" spans="1:13">
      <c r="A417" s="17">
        <v>8273</v>
      </c>
      <c r="B417" s="13" t="s">
        <v>14</v>
      </c>
      <c r="C417" s="20">
        <v>2</v>
      </c>
      <c r="D417" s="30">
        <v>2.6</v>
      </c>
      <c r="E417" s="20">
        <v>1.45</v>
      </c>
      <c r="F417">
        <f t="shared" si="52"/>
        <v>1.15</v>
      </c>
      <c r="G417" s="18">
        <f t="shared" si="53"/>
        <v>0.442307692307692</v>
      </c>
      <c r="H417">
        <f>F417*C410</f>
        <v>2.3</v>
      </c>
    </row>
    <row r="418" spans="1:13">
      <c r="A418" s="17">
        <v>8273</v>
      </c>
      <c r="B418" s="13" t="s">
        <v>32</v>
      </c>
      <c r="C418" s="20">
        <v>2</v>
      </c>
      <c r="D418" s="30">
        <v>2.6</v>
      </c>
      <c r="E418" s="20">
        <v>1.35</v>
      </c>
      <c r="F418">
        <f t="shared" si="52"/>
        <v>1.25</v>
      </c>
      <c r="G418" s="18">
        <f t="shared" si="53"/>
        <v>0.480769230769231</v>
      </c>
      <c r="H418">
        <f t="shared" si="54"/>
        <v>2.5</v>
      </c>
      <c r="J418">
        <v>9.2</v>
      </c>
      <c r="K418">
        <v>0.75</v>
      </c>
      <c r="M418">
        <v>11.35</v>
      </c>
    </row>
    <row r="419" spans="1:13">
      <c r="A419" s="17">
        <v>8273</v>
      </c>
      <c r="B419" s="13" t="s">
        <v>160</v>
      </c>
      <c r="C419" s="20">
        <v>2</v>
      </c>
      <c r="D419" s="30">
        <v>0.9</v>
      </c>
      <c r="E419" s="20">
        <v>0.45</v>
      </c>
      <c r="F419">
        <f t="shared" si="52"/>
        <v>0.45</v>
      </c>
      <c r="G419" s="18">
        <f t="shared" si="53"/>
        <v>0.5</v>
      </c>
      <c r="H419">
        <f t="shared" si="54"/>
        <v>0.9</v>
      </c>
      <c r="J419">
        <v>3.15</v>
      </c>
      <c r="K419">
        <v>0.5</v>
      </c>
    </row>
    <row r="420" spans="1:13">
      <c r="A420" s="32" t="s">
        <v>1020</v>
      </c>
      <c r="B420" s="13" t="s">
        <v>14</v>
      </c>
      <c r="C420" s="20">
        <v>2</v>
      </c>
      <c r="D420" s="30">
        <v>3</v>
      </c>
      <c r="E420" s="20">
        <v>1.81</v>
      </c>
      <c r="F420">
        <f t="shared" si="52"/>
        <v>1.19</v>
      </c>
      <c r="G420" s="18">
        <f t="shared" si="53"/>
        <v>0.396666666666667</v>
      </c>
      <c r="H420">
        <f t="shared" si="54"/>
        <v>2.38</v>
      </c>
    </row>
    <row r="421" spans="1:13">
      <c r="A421" s="32" t="s">
        <v>1020</v>
      </c>
      <c r="B421" s="13" t="s">
        <v>32</v>
      </c>
      <c r="C421" s="20">
        <v>2</v>
      </c>
      <c r="D421" s="30">
        <v>1.8</v>
      </c>
      <c r="E421" s="20">
        <v>0.77</v>
      </c>
      <c r="F421">
        <f t="shared" si="52"/>
        <v>1.03</v>
      </c>
      <c r="G421" s="18">
        <f t="shared" si="53"/>
        <v>0.572222222222222</v>
      </c>
      <c r="H421">
        <f t="shared" si="54"/>
        <v>2.06</v>
      </c>
    </row>
    <row r="422" spans="1:13">
      <c r="A422" s="17">
        <v>827402</v>
      </c>
      <c r="B422" s="13" t="s">
        <v>14</v>
      </c>
      <c r="C422" s="20">
        <v>2</v>
      </c>
      <c r="D422" s="30"/>
      <c r="E422" s="20">
        <v>1.81</v>
      </c>
    </row>
    <row r="423" spans="1:13">
      <c r="A423" s="17">
        <v>827402</v>
      </c>
      <c r="B423" s="13" t="s">
        <v>32</v>
      </c>
      <c r="C423" s="20">
        <v>2</v>
      </c>
      <c r="D423" s="30"/>
      <c r="E423" s="20">
        <v>0.77</v>
      </c>
    </row>
    <row r="424" spans="1:13">
      <c r="A424" s="17">
        <v>8277</v>
      </c>
      <c r="B424" s="20" t="s">
        <v>14</v>
      </c>
      <c r="C424" s="20">
        <v>2</v>
      </c>
      <c r="D424" s="20">
        <v>2.45</v>
      </c>
      <c r="E424">
        <v>1.47</v>
      </c>
      <c r="F424">
        <f t="shared" si="52"/>
        <v>0.98</v>
      </c>
      <c r="G424" s="18">
        <f t="shared" si="50"/>
        <v>0.4</v>
      </c>
      <c r="H424">
        <f t="shared" si="48"/>
        <v>1.96</v>
      </c>
    </row>
    <row r="425" spans="1:13">
      <c r="A425" s="17">
        <v>8277</v>
      </c>
      <c r="B425" s="20" t="s">
        <v>32</v>
      </c>
      <c r="C425" s="20">
        <v>2</v>
      </c>
      <c r="D425" s="20">
        <v>1.63</v>
      </c>
      <c r="E425">
        <v>0.82</v>
      </c>
      <c r="F425">
        <f t="shared" si="52"/>
        <v>0.81</v>
      </c>
      <c r="G425" s="18">
        <f t="shared" si="50"/>
        <v>0.496932515337423</v>
      </c>
      <c r="H425">
        <f t="shared" si="48"/>
        <v>1.62</v>
      </c>
    </row>
    <row r="426" spans="1:13">
      <c r="A426" s="17">
        <v>8279</v>
      </c>
      <c r="B426" s="13" t="s">
        <v>14</v>
      </c>
      <c r="C426" s="20">
        <v>2</v>
      </c>
      <c r="D426" s="30">
        <v>3.93</v>
      </c>
      <c r="E426">
        <v>1.85</v>
      </c>
      <c r="F426">
        <f t="shared" si="52"/>
        <v>2.08</v>
      </c>
      <c r="G426" s="18">
        <f t="shared" si="50"/>
        <v>0.529262086513995</v>
      </c>
      <c r="H426">
        <f t="shared" si="48"/>
        <v>4.16</v>
      </c>
      <c r="J426">
        <v>1.84</v>
      </c>
      <c r="K426">
        <v>30</v>
      </c>
      <c r="L426">
        <f>J426*K426</f>
        <v>55.2</v>
      </c>
    </row>
    <row r="427" spans="1:13">
      <c r="A427" s="17">
        <v>8279</v>
      </c>
      <c r="B427" s="13" t="s">
        <v>32</v>
      </c>
      <c r="C427" s="20">
        <v>2</v>
      </c>
      <c r="D427" s="30">
        <v>1.03</v>
      </c>
      <c r="E427">
        <v>0.55</v>
      </c>
      <c r="F427">
        <f t="shared" si="52"/>
        <v>0.48</v>
      </c>
      <c r="G427" s="18">
        <f t="shared" si="50"/>
        <v>0.466019417475728</v>
      </c>
      <c r="H427">
        <f t="shared" si="48"/>
        <v>0.96</v>
      </c>
      <c r="J427">
        <v>0.63</v>
      </c>
      <c r="K427">
        <v>15</v>
      </c>
      <c r="L427">
        <f>J427*K427</f>
        <v>9.45</v>
      </c>
      <c r="M427">
        <v>15</v>
      </c>
    </row>
    <row r="428" spans="1:13">
      <c r="A428" s="17">
        <v>8280</v>
      </c>
      <c r="B428" s="20" t="s">
        <v>14</v>
      </c>
      <c r="C428" s="20">
        <v>2</v>
      </c>
      <c r="D428" s="33">
        <v>3.09</v>
      </c>
      <c r="E428" s="23">
        <v>3.35</v>
      </c>
      <c r="F428" s="23">
        <f t="shared" si="52"/>
        <v>-0.26</v>
      </c>
      <c r="G428" s="24">
        <f t="shared" si="50"/>
        <v>-0.0841423948220066</v>
      </c>
      <c r="H428" s="23">
        <f t="shared" si="48"/>
        <v>-0.52</v>
      </c>
      <c r="K428">
        <v>0.185</v>
      </c>
      <c r="L428">
        <v>0.37</v>
      </c>
    </row>
    <row r="429" spans="1:13">
      <c r="A429" s="17">
        <v>8280</v>
      </c>
      <c r="B429" s="20" t="s">
        <v>32</v>
      </c>
      <c r="C429" s="20">
        <v>2</v>
      </c>
      <c r="D429" s="33">
        <v>3.09</v>
      </c>
      <c r="E429" s="23">
        <v>0</v>
      </c>
      <c r="F429" s="23">
        <f t="shared" si="52"/>
        <v>3.09</v>
      </c>
      <c r="G429" s="24">
        <f t="shared" si="50"/>
        <v>1</v>
      </c>
      <c r="H429" s="23">
        <f t="shared" si="48"/>
        <v>6.18</v>
      </c>
    </row>
    <row r="430" spans="1:13">
      <c r="A430" s="17">
        <v>8291</v>
      </c>
      <c r="B430" s="20" t="s">
        <v>14</v>
      </c>
      <c r="C430" s="20">
        <v>2</v>
      </c>
      <c r="D430" s="30">
        <v>1.71</v>
      </c>
      <c r="E430">
        <v>0.92</v>
      </c>
      <c r="F430">
        <f t="shared" si="52"/>
        <v>0.79</v>
      </c>
      <c r="G430" s="18">
        <f t="shared" si="50"/>
        <v>0.461988304093567</v>
      </c>
      <c r="H430">
        <f t="shared" si="48"/>
        <v>1.58</v>
      </c>
    </row>
    <row r="431" spans="1:13">
      <c r="A431" s="17">
        <v>8291</v>
      </c>
      <c r="B431" s="20" t="s">
        <v>32</v>
      </c>
      <c r="C431" s="20">
        <v>2</v>
      </c>
      <c r="D431" s="30">
        <v>1.71</v>
      </c>
      <c r="E431">
        <v>0.87</v>
      </c>
      <c r="F431">
        <f t="shared" si="52"/>
        <v>0.84</v>
      </c>
      <c r="G431" s="18">
        <f t="shared" si="50"/>
        <v>0.491228070175439</v>
      </c>
      <c r="H431">
        <f t="shared" si="48"/>
        <v>1.68</v>
      </c>
    </row>
    <row r="432" spans="1:13">
      <c r="A432" s="17">
        <v>8296</v>
      </c>
      <c r="B432" s="20" t="s">
        <v>32</v>
      </c>
      <c r="C432" s="20">
        <v>2</v>
      </c>
      <c r="D432" s="30">
        <v>3.09</v>
      </c>
      <c r="E432">
        <v>2.08</v>
      </c>
      <c r="F432">
        <f t="shared" ref="F432:F461" si="56">D432-E432</f>
        <v>1.01</v>
      </c>
      <c r="G432" s="18">
        <f t="shared" ref="G432:G461" si="57">F432/D432</f>
        <v>0.326860841423948</v>
      </c>
      <c r="H432">
        <f t="shared" ref="H432:H461" si="58">F432*C432</f>
        <v>2.02</v>
      </c>
      <c r="M432">
        <v>30</v>
      </c>
    </row>
    <row r="433" spans="1:9">
      <c r="A433" s="17">
        <v>8297</v>
      </c>
      <c r="B433" s="20" t="s">
        <v>14</v>
      </c>
      <c r="C433" s="20">
        <v>2</v>
      </c>
      <c r="D433" s="30">
        <v>2.56</v>
      </c>
      <c r="E433">
        <v>1.46</v>
      </c>
      <c r="F433">
        <f t="shared" si="56"/>
        <v>1.1</v>
      </c>
      <c r="G433" s="18">
        <f t="shared" si="57"/>
        <v>0.4296875</v>
      </c>
      <c r="H433">
        <f t="shared" si="58"/>
        <v>2.2</v>
      </c>
    </row>
    <row r="434" spans="1:9">
      <c r="A434" s="17">
        <v>8297</v>
      </c>
      <c r="B434" s="20" t="s">
        <v>32</v>
      </c>
      <c r="C434" s="20">
        <v>2</v>
      </c>
      <c r="D434" s="30">
        <v>2.56</v>
      </c>
      <c r="E434">
        <v>1.25</v>
      </c>
      <c r="F434">
        <f t="shared" si="56"/>
        <v>1.31</v>
      </c>
      <c r="G434" s="18">
        <f t="shared" si="57"/>
        <v>0.51171875</v>
      </c>
      <c r="H434">
        <f t="shared" si="58"/>
        <v>2.62</v>
      </c>
    </row>
    <row r="435" spans="1:9">
      <c r="A435" s="17">
        <v>8298</v>
      </c>
      <c r="B435" s="20" t="s">
        <v>14</v>
      </c>
      <c r="C435" s="20">
        <v>2</v>
      </c>
      <c r="D435" s="30">
        <v>4.33</v>
      </c>
      <c r="E435">
        <v>2.45</v>
      </c>
      <c r="F435" s="34">
        <f t="shared" si="56"/>
        <v>1.88</v>
      </c>
      <c r="G435" s="18">
        <f t="shared" si="57"/>
        <v>0.434180138568129</v>
      </c>
      <c r="H435">
        <f t="shared" si="58"/>
        <v>3.76</v>
      </c>
      <c r="I435" s="20" t="s">
        <v>1021</v>
      </c>
    </row>
    <row r="436" spans="1:9">
      <c r="A436" s="17">
        <v>8298</v>
      </c>
      <c r="B436" s="20" t="s">
        <v>32</v>
      </c>
      <c r="C436" s="20">
        <v>2</v>
      </c>
      <c r="D436" s="30">
        <v>1.35</v>
      </c>
      <c r="E436">
        <v>0.65</v>
      </c>
      <c r="F436" s="34">
        <f t="shared" si="56"/>
        <v>0.7</v>
      </c>
      <c r="G436" s="18">
        <f t="shared" si="57"/>
        <v>0.518518518518518</v>
      </c>
      <c r="H436">
        <f t="shared" si="58"/>
        <v>1.4</v>
      </c>
    </row>
    <row r="437" spans="1:9">
      <c r="A437" s="17">
        <v>8299</v>
      </c>
      <c r="B437" s="20" t="s">
        <v>14</v>
      </c>
      <c r="C437" s="20">
        <v>2</v>
      </c>
      <c r="D437" s="30">
        <v>3</v>
      </c>
      <c r="E437">
        <v>1.782</v>
      </c>
      <c r="F437" s="34">
        <f t="shared" si="56"/>
        <v>1.218</v>
      </c>
      <c r="G437" s="18">
        <f t="shared" si="57"/>
        <v>0.406</v>
      </c>
      <c r="H437">
        <f t="shared" si="58"/>
        <v>2.436</v>
      </c>
    </row>
    <row r="438" spans="1:9">
      <c r="A438" s="17">
        <v>8299</v>
      </c>
      <c r="B438" s="20" t="s">
        <v>160</v>
      </c>
      <c r="C438" s="20">
        <v>2</v>
      </c>
      <c r="D438" s="30">
        <v>0.21</v>
      </c>
      <c r="F438" s="34"/>
      <c r="G438" s="18">
        <f t="shared" si="57"/>
        <v>0</v>
      </c>
      <c r="H438">
        <f t="shared" si="58"/>
        <v>0</v>
      </c>
    </row>
    <row r="439" spans="1:9">
      <c r="A439" s="17">
        <v>8299</v>
      </c>
      <c r="B439" s="20" t="s">
        <v>160</v>
      </c>
      <c r="C439" s="20">
        <v>2</v>
      </c>
      <c r="D439" s="30">
        <v>0.26</v>
      </c>
      <c r="F439" s="34"/>
      <c r="G439" s="18">
        <f t="shared" si="57"/>
        <v>0</v>
      </c>
      <c r="H439">
        <f t="shared" si="58"/>
        <v>0</v>
      </c>
    </row>
    <row r="440" spans="1:9">
      <c r="A440" s="17">
        <v>8300</v>
      </c>
      <c r="B440" s="20" t="s">
        <v>14</v>
      </c>
      <c r="C440" s="20">
        <v>2</v>
      </c>
      <c r="D440" s="30">
        <v>3.6</v>
      </c>
      <c r="E440" s="23">
        <v>2.73</v>
      </c>
      <c r="F440" s="34">
        <f t="shared" si="56"/>
        <v>0.87</v>
      </c>
      <c r="G440" s="18">
        <f t="shared" si="57"/>
        <v>0.241666666666667</v>
      </c>
      <c r="H440">
        <f t="shared" si="58"/>
        <v>1.74</v>
      </c>
    </row>
    <row r="441" spans="1:9">
      <c r="A441" s="17">
        <v>8300</v>
      </c>
      <c r="B441" s="20" t="s">
        <v>32</v>
      </c>
      <c r="C441" s="20">
        <v>2</v>
      </c>
      <c r="D441" s="30">
        <v>2.05</v>
      </c>
      <c r="E441">
        <v>0</v>
      </c>
      <c r="F441" s="34">
        <f t="shared" si="56"/>
        <v>2.05</v>
      </c>
      <c r="G441" s="18">
        <f t="shared" si="57"/>
        <v>1</v>
      </c>
      <c r="H441">
        <f t="shared" si="58"/>
        <v>4.1</v>
      </c>
    </row>
    <row r="442" spans="1:9">
      <c r="A442" s="17">
        <v>8301</v>
      </c>
      <c r="B442" s="20" t="s">
        <v>14</v>
      </c>
      <c r="C442" s="20">
        <v>2</v>
      </c>
      <c r="D442" s="20">
        <v>2.04</v>
      </c>
      <c r="E442">
        <v>1.05</v>
      </c>
      <c r="F442" s="34">
        <f t="shared" si="56"/>
        <v>0.99</v>
      </c>
      <c r="G442" s="18">
        <f t="shared" si="57"/>
        <v>0.485294117647059</v>
      </c>
      <c r="H442">
        <f t="shared" si="58"/>
        <v>1.98</v>
      </c>
    </row>
    <row r="443" spans="1:9">
      <c r="A443" s="17">
        <v>8303</v>
      </c>
      <c r="B443" s="20" t="s">
        <v>14</v>
      </c>
      <c r="C443" s="20">
        <v>2</v>
      </c>
      <c r="D443" s="30">
        <v>2.65</v>
      </c>
      <c r="E443">
        <v>1.66</v>
      </c>
      <c r="F443" s="34">
        <f t="shared" si="56"/>
        <v>0.99</v>
      </c>
      <c r="G443" s="18">
        <f t="shared" si="57"/>
        <v>0.373584905660377</v>
      </c>
      <c r="H443">
        <f t="shared" si="58"/>
        <v>1.98</v>
      </c>
    </row>
    <row r="444" spans="1:9">
      <c r="A444" s="17">
        <v>8303</v>
      </c>
      <c r="B444" s="20" t="s">
        <v>32</v>
      </c>
      <c r="C444" s="20">
        <v>2</v>
      </c>
      <c r="D444" s="30">
        <v>2.31</v>
      </c>
      <c r="E444">
        <v>1.39</v>
      </c>
      <c r="F444" s="34">
        <f t="shared" si="56"/>
        <v>0.92</v>
      </c>
      <c r="G444" s="18">
        <f t="shared" si="57"/>
        <v>0.398268398268398</v>
      </c>
      <c r="H444">
        <f t="shared" si="58"/>
        <v>1.84</v>
      </c>
    </row>
    <row r="445" spans="1:9">
      <c r="A445" s="17">
        <v>8304</v>
      </c>
      <c r="B445" s="20" t="s">
        <v>14</v>
      </c>
      <c r="C445" s="20">
        <v>2</v>
      </c>
      <c r="D445" s="30">
        <v>2.65</v>
      </c>
      <c r="E445">
        <v>2.7</v>
      </c>
      <c r="F445" s="34">
        <f t="shared" si="56"/>
        <v>-0.0500000000000003</v>
      </c>
      <c r="G445" s="18">
        <f t="shared" si="57"/>
        <v>-0.018867924528302</v>
      </c>
      <c r="H445">
        <f t="shared" si="58"/>
        <v>-0.100000000000001</v>
      </c>
    </row>
    <row r="446" spans="1:9">
      <c r="A446" s="17">
        <v>8304</v>
      </c>
      <c r="B446" s="20" t="s">
        <v>32</v>
      </c>
      <c r="C446" s="20">
        <v>2</v>
      </c>
      <c r="D446" s="30">
        <v>2.21</v>
      </c>
      <c r="F446" s="34">
        <f t="shared" si="56"/>
        <v>2.21</v>
      </c>
      <c r="G446" s="18">
        <f t="shared" si="57"/>
        <v>1</v>
      </c>
      <c r="H446">
        <f t="shared" si="58"/>
        <v>4.42</v>
      </c>
    </row>
    <row r="447" spans="1:9">
      <c r="A447" s="17">
        <v>8304</v>
      </c>
      <c r="B447" s="20" t="s">
        <v>1022</v>
      </c>
      <c r="C447" s="20">
        <v>2</v>
      </c>
      <c r="D447" s="30">
        <v>0.18</v>
      </c>
      <c r="F447" s="34">
        <f t="shared" si="56"/>
        <v>0.18</v>
      </c>
      <c r="G447" s="18">
        <f t="shared" si="57"/>
        <v>1</v>
      </c>
      <c r="H447">
        <f t="shared" si="58"/>
        <v>0.36</v>
      </c>
    </row>
    <row r="448" spans="1:9">
      <c r="A448" s="17">
        <v>8310</v>
      </c>
      <c r="B448" s="20" t="s">
        <v>14</v>
      </c>
      <c r="C448" s="20">
        <v>2</v>
      </c>
      <c r="D448" s="20">
        <v>2.29</v>
      </c>
      <c r="E448" s="20">
        <v>1.45</v>
      </c>
      <c r="F448" s="34">
        <f t="shared" si="56"/>
        <v>0.84</v>
      </c>
      <c r="G448" s="18">
        <f t="shared" si="57"/>
        <v>0.366812227074236</v>
      </c>
      <c r="H448">
        <f t="shared" si="58"/>
        <v>1.68</v>
      </c>
    </row>
    <row r="449" spans="1:11">
      <c r="A449" s="17">
        <v>8311</v>
      </c>
      <c r="B449" s="20" t="s">
        <v>14</v>
      </c>
      <c r="C449" s="20">
        <v>2</v>
      </c>
      <c r="D449" s="30">
        <v>3.06</v>
      </c>
      <c r="E449" s="20">
        <v>2.1</v>
      </c>
      <c r="F449" s="34">
        <f t="shared" si="56"/>
        <v>0.96</v>
      </c>
      <c r="G449" s="18">
        <f t="shared" si="57"/>
        <v>0.313725490196078</v>
      </c>
      <c r="H449">
        <f t="shared" si="58"/>
        <v>1.92</v>
      </c>
    </row>
    <row r="450" spans="1:11">
      <c r="A450" s="17">
        <v>8314</v>
      </c>
      <c r="B450" s="20" t="s">
        <v>14</v>
      </c>
      <c r="C450" s="20">
        <v>2</v>
      </c>
      <c r="D450" s="26">
        <v>4.15422</v>
      </c>
      <c r="E450" s="20">
        <v>2.33</v>
      </c>
      <c r="F450" s="34">
        <f t="shared" si="56"/>
        <v>1.82422</v>
      </c>
      <c r="G450" s="18">
        <f t="shared" si="57"/>
        <v>0.439124552864316</v>
      </c>
      <c r="H450">
        <f t="shared" si="58"/>
        <v>3.64844</v>
      </c>
    </row>
    <row r="451" spans="1:11">
      <c r="A451" s="17">
        <v>8314</v>
      </c>
      <c r="B451" s="20" t="s">
        <v>32</v>
      </c>
      <c r="C451" s="20">
        <v>2</v>
      </c>
      <c r="D451" s="26">
        <v>1.57514175</v>
      </c>
      <c r="E451" s="20">
        <v>0.78</v>
      </c>
      <c r="F451" s="34">
        <f t="shared" si="56"/>
        <v>0.79514175</v>
      </c>
      <c r="G451" s="18">
        <f t="shared" si="57"/>
        <v>0.504806472179409</v>
      </c>
      <c r="H451">
        <f t="shared" si="58"/>
        <v>1.5902835</v>
      </c>
    </row>
    <row r="452" spans="1:11">
      <c r="A452" s="17">
        <v>8314</v>
      </c>
      <c r="B452" s="20" t="s">
        <v>786</v>
      </c>
      <c r="C452" s="20">
        <v>2</v>
      </c>
      <c r="D452" s="26">
        <v>0.17154703125</v>
      </c>
      <c r="E452" s="20">
        <v>0.07</v>
      </c>
      <c r="F452" s="34">
        <f t="shared" si="56"/>
        <v>0.10154703125</v>
      </c>
      <c r="G452" s="18">
        <f t="shared" si="57"/>
        <v>0.591948636534624</v>
      </c>
      <c r="H452">
        <f t="shared" si="58"/>
        <v>0.2030940625</v>
      </c>
    </row>
    <row r="453" spans="1:11">
      <c r="A453" s="17">
        <v>8314</v>
      </c>
      <c r="B453" s="20" t="s">
        <v>788</v>
      </c>
      <c r="C453" s="20">
        <v>2</v>
      </c>
      <c r="D453" s="26">
        <v>0.377271</v>
      </c>
      <c r="E453" s="20">
        <v>0.16</v>
      </c>
      <c r="F453" s="34">
        <f t="shared" si="56"/>
        <v>0.217271</v>
      </c>
      <c r="G453" s="18">
        <f t="shared" si="57"/>
        <v>0.575901672802839</v>
      </c>
      <c r="H453">
        <f t="shared" si="58"/>
        <v>0.434542</v>
      </c>
    </row>
    <row r="454" spans="1:11">
      <c r="A454" s="17">
        <v>8315</v>
      </c>
      <c r="B454" s="20" t="s">
        <v>14</v>
      </c>
      <c r="C454" s="20">
        <v>2</v>
      </c>
      <c r="D454" s="30">
        <v>2.12</v>
      </c>
      <c r="E454" s="20">
        <v>1.5</v>
      </c>
      <c r="F454" s="34">
        <f t="shared" si="56"/>
        <v>0.62</v>
      </c>
      <c r="G454" s="18">
        <f t="shared" si="57"/>
        <v>0.292452830188679</v>
      </c>
      <c r="H454">
        <f t="shared" si="58"/>
        <v>1.24</v>
      </c>
    </row>
    <row r="455" spans="1:11">
      <c r="A455" s="17">
        <v>8315</v>
      </c>
      <c r="B455" s="20" t="s">
        <v>32</v>
      </c>
      <c r="C455" s="20">
        <v>2</v>
      </c>
      <c r="D455" s="30">
        <v>2.12</v>
      </c>
      <c r="E455" s="20">
        <v>1.3</v>
      </c>
      <c r="F455" s="34">
        <f t="shared" si="56"/>
        <v>0.82</v>
      </c>
      <c r="G455" s="18">
        <f t="shared" si="57"/>
        <v>0.386792452830189</v>
      </c>
      <c r="H455">
        <f t="shared" si="58"/>
        <v>1.64</v>
      </c>
    </row>
    <row r="456" spans="1:11">
      <c r="A456" s="17">
        <v>8316</v>
      </c>
      <c r="B456" s="20" t="s">
        <v>14</v>
      </c>
      <c r="C456" s="20">
        <v>2</v>
      </c>
      <c r="D456" s="20">
        <v>3.1</v>
      </c>
      <c r="E456" s="20">
        <v>1.9</v>
      </c>
      <c r="F456" s="34">
        <f t="shared" si="56"/>
        <v>1.2</v>
      </c>
      <c r="G456" s="18">
        <f t="shared" si="57"/>
        <v>0.387096774193548</v>
      </c>
      <c r="H456">
        <f t="shared" si="58"/>
        <v>2.4</v>
      </c>
    </row>
    <row r="457" spans="1:11">
      <c r="A457" s="17">
        <v>8317</v>
      </c>
      <c r="B457" s="20" t="s">
        <v>14</v>
      </c>
      <c r="C457" s="20">
        <v>2</v>
      </c>
      <c r="D457" s="20">
        <v>3.53</v>
      </c>
      <c r="E457" s="20">
        <v>2.2</v>
      </c>
      <c r="F457" s="34">
        <f t="shared" si="56"/>
        <v>1.33</v>
      </c>
      <c r="G457" s="18">
        <f t="shared" si="57"/>
        <v>0.376770538243626</v>
      </c>
      <c r="H457">
        <f t="shared" si="58"/>
        <v>2.66</v>
      </c>
    </row>
    <row r="458" spans="1:11">
      <c r="A458" s="17">
        <v>8319</v>
      </c>
      <c r="B458" s="20" t="s">
        <v>14</v>
      </c>
      <c r="C458" s="20">
        <v>2</v>
      </c>
      <c r="D458" s="30">
        <v>2.66</v>
      </c>
      <c r="E458" s="20">
        <v>2.2</v>
      </c>
      <c r="F458" s="34">
        <f t="shared" si="56"/>
        <v>0.46</v>
      </c>
      <c r="G458" s="18">
        <f t="shared" si="57"/>
        <v>0.172932330827068</v>
      </c>
      <c r="H458">
        <f t="shared" si="58"/>
        <v>0.92</v>
      </c>
    </row>
    <row r="459" spans="1:11">
      <c r="A459" s="17">
        <v>8319</v>
      </c>
      <c r="B459" s="20" t="s">
        <v>32</v>
      </c>
      <c r="C459" s="20">
        <v>2</v>
      </c>
      <c r="D459" s="30">
        <v>1.78</v>
      </c>
      <c r="E459" s="20">
        <v>0</v>
      </c>
      <c r="F459" s="34">
        <f t="shared" si="56"/>
        <v>1.78</v>
      </c>
      <c r="G459" s="18">
        <f t="shared" si="57"/>
        <v>1</v>
      </c>
      <c r="H459">
        <f t="shared" si="58"/>
        <v>3.56</v>
      </c>
    </row>
    <row r="460" spans="1:11">
      <c r="A460" s="17">
        <v>8321</v>
      </c>
      <c r="B460" s="20" t="s">
        <v>14</v>
      </c>
      <c r="C460" s="20">
        <v>2</v>
      </c>
      <c r="D460" s="20">
        <v>3.57</v>
      </c>
      <c r="E460" s="20">
        <v>2.1</v>
      </c>
      <c r="F460" s="34">
        <f t="shared" si="56"/>
        <v>1.47</v>
      </c>
      <c r="G460" s="18">
        <f t="shared" si="57"/>
        <v>0.411764705882353</v>
      </c>
      <c r="H460">
        <f t="shared" si="58"/>
        <v>2.94</v>
      </c>
    </row>
    <row r="461" spans="1:11">
      <c r="A461" s="32" t="s">
        <v>1023</v>
      </c>
      <c r="B461" s="20" t="s">
        <v>14</v>
      </c>
      <c r="C461" s="20">
        <v>2</v>
      </c>
      <c r="D461" s="20">
        <v>4.08</v>
      </c>
      <c r="E461" s="20">
        <v>2.4</v>
      </c>
      <c r="F461" s="34">
        <f t="shared" si="56"/>
        <v>1.68</v>
      </c>
      <c r="G461" s="18">
        <f t="shared" si="57"/>
        <v>0.411764705882353</v>
      </c>
      <c r="H461">
        <f t="shared" si="58"/>
        <v>3.36</v>
      </c>
    </row>
    <row r="462" spans="1:11">
      <c r="A462" s="17">
        <v>8322</v>
      </c>
      <c r="B462" s="20" t="s">
        <v>14</v>
      </c>
      <c r="C462" s="20">
        <v>2</v>
      </c>
      <c r="D462" s="20">
        <v>1.71</v>
      </c>
      <c r="E462">
        <v>1.15</v>
      </c>
      <c r="F462">
        <f t="shared" ref="F462:F494" si="59">D462-E462</f>
        <v>0.56</v>
      </c>
      <c r="G462" s="18">
        <f t="shared" si="50"/>
        <v>0.327485380116959</v>
      </c>
      <c r="H462">
        <f t="shared" si="48"/>
        <v>1.12</v>
      </c>
    </row>
    <row r="463" spans="1:11">
      <c r="A463" s="17">
        <v>8322</v>
      </c>
      <c r="B463" s="20" t="s">
        <v>32</v>
      </c>
      <c r="C463" s="20">
        <v>2</v>
      </c>
      <c r="D463" s="20">
        <v>1.71</v>
      </c>
      <c r="E463">
        <v>1.07</v>
      </c>
      <c r="F463">
        <f t="shared" si="59"/>
        <v>0.64</v>
      </c>
      <c r="G463" s="18">
        <f t="shared" si="50"/>
        <v>0.374269005847953</v>
      </c>
      <c r="H463">
        <f t="shared" si="48"/>
        <v>1.28</v>
      </c>
    </row>
    <row r="464" spans="1:11">
      <c r="A464" s="17">
        <v>8324</v>
      </c>
      <c r="B464" s="20" t="s">
        <v>14</v>
      </c>
      <c r="C464" s="20">
        <v>2</v>
      </c>
      <c r="D464" s="20">
        <v>4.33</v>
      </c>
      <c r="E464" s="20">
        <v>2.49</v>
      </c>
      <c r="F464">
        <f t="shared" si="59"/>
        <v>1.84</v>
      </c>
      <c r="G464" s="18">
        <f t="shared" si="50"/>
        <v>0.424942263279446</v>
      </c>
      <c r="H464">
        <f t="shared" si="48"/>
        <v>3.68</v>
      </c>
      <c r="I464">
        <v>0.66</v>
      </c>
      <c r="J464">
        <v>3.15</v>
      </c>
      <c r="K464">
        <f>J464-I464</f>
        <v>2.49</v>
      </c>
    </row>
    <row r="465" spans="1:11">
      <c r="A465" s="17">
        <v>8325</v>
      </c>
      <c r="B465" s="20" t="s">
        <v>14</v>
      </c>
      <c r="C465" s="20">
        <v>2</v>
      </c>
      <c r="D465" s="20">
        <v>4.95</v>
      </c>
      <c r="E465" s="20">
        <v>3.57</v>
      </c>
      <c r="F465">
        <f t="shared" si="59"/>
        <v>1.38</v>
      </c>
      <c r="G465" s="18">
        <f t="shared" si="50"/>
        <v>0.278787878787879</v>
      </c>
      <c r="H465">
        <f t="shared" si="48"/>
        <v>2.76</v>
      </c>
      <c r="J465">
        <v>3.57</v>
      </c>
      <c r="K465">
        <f>J465-I465</f>
        <v>3.57</v>
      </c>
    </row>
    <row r="466" spans="1:11">
      <c r="A466" s="17">
        <v>8326</v>
      </c>
      <c r="B466" s="20" t="s">
        <v>14</v>
      </c>
      <c r="C466" s="20">
        <v>2</v>
      </c>
      <c r="D466" s="20">
        <v>4.11</v>
      </c>
      <c r="E466" s="20">
        <v>1.85</v>
      </c>
      <c r="F466">
        <f t="shared" si="59"/>
        <v>2.26</v>
      </c>
      <c r="G466" s="18">
        <f t="shared" si="50"/>
        <v>0.549878345498783</v>
      </c>
      <c r="H466">
        <f t="shared" si="48"/>
        <v>4.52</v>
      </c>
    </row>
    <row r="467" spans="1:11">
      <c r="A467" s="17">
        <v>8328</v>
      </c>
      <c r="B467" s="20" t="s">
        <v>14</v>
      </c>
      <c r="C467" s="20">
        <v>2</v>
      </c>
      <c r="D467" s="20">
        <v>4.11</v>
      </c>
      <c r="E467" s="20">
        <v>2.49</v>
      </c>
      <c r="F467">
        <f t="shared" si="59"/>
        <v>1.62</v>
      </c>
      <c r="G467" s="18">
        <f t="shared" si="50"/>
        <v>0.394160583941606</v>
      </c>
      <c r="H467">
        <f t="shared" si="48"/>
        <v>3.24</v>
      </c>
    </row>
    <row r="468" spans="1:11">
      <c r="A468" s="17">
        <v>8330</v>
      </c>
      <c r="B468" s="20" t="s">
        <v>14</v>
      </c>
      <c r="C468" s="20">
        <v>2</v>
      </c>
      <c r="D468" s="20">
        <v>4.72</v>
      </c>
      <c r="E468" s="20">
        <v>2.5</v>
      </c>
      <c r="F468">
        <f t="shared" si="59"/>
        <v>2.22</v>
      </c>
      <c r="G468" s="18">
        <f t="shared" si="50"/>
        <v>0.470338983050847</v>
      </c>
      <c r="H468">
        <f t="shared" si="48"/>
        <v>4.44</v>
      </c>
    </row>
    <row r="469" spans="1:11">
      <c r="A469" s="17">
        <v>8330</v>
      </c>
      <c r="B469" s="20" t="s">
        <v>32</v>
      </c>
      <c r="C469" s="20">
        <v>2</v>
      </c>
      <c r="D469" s="20">
        <v>0</v>
      </c>
      <c r="E469" s="20">
        <v>0.41</v>
      </c>
      <c r="F469">
        <f t="shared" si="59"/>
        <v>-0.41</v>
      </c>
      <c r="G469" s="18" t="e">
        <f t="shared" si="50"/>
        <v>#DIV/0!</v>
      </c>
      <c r="H469">
        <f t="shared" si="48"/>
        <v>-0.82</v>
      </c>
    </row>
    <row r="470" spans="1:11">
      <c r="A470" s="17">
        <v>8344</v>
      </c>
      <c r="B470" s="20" t="s">
        <v>14</v>
      </c>
      <c r="C470" s="20">
        <v>2</v>
      </c>
      <c r="D470" s="20">
        <v>2.21</v>
      </c>
      <c r="E470" s="22">
        <v>2.3</v>
      </c>
      <c r="F470">
        <f t="shared" si="59"/>
        <v>-0.0899999999999999</v>
      </c>
      <c r="G470" s="18">
        <f t="shared" si="50"/>
        <v>-0.0407239819004524</v>
      </c>
      <c r="H470">
        <f t="shared" si="48"/>
        <v>-0.18</v>
      </c>
    </row>
    <row r="471" spans="1:11">
      <c r="A471" s="17">
        <v>8344</v>
      </c>
      <c r="B471" s="20" t="s">
        <v>32</v>
      </c>
      <c r="C471" s="20">
        <v>2</v>
      </c>
      <c r="D471" s="20">
        <v>1.77</v>
      </c>
      <c r="E471" s="20">
        <v>0</v>
      </c>
      <c r="F471">
        <f t="shared" si="59"/>
        <v>1.77</v>
      </c>
      <c r="G471" s="18">
        <f t="shared" si="50"/>
        <v>1</v>
      </c>
      <c r="H471">
        <f t="shared" si="48"/>
        <v>3.54</v>
      </c>
    </row>
    <row r="472" spans="1:11">
      <c r="A472" s="17">
        <v>8345</v>
      </c>
      <c r="B472" s="20" t="s">
        <v>14</v>
      </c>
      <c r="C472" s="20">
        <v>2</v>
      </c>
      <c r="D472">
        <v>2.13</v>
      </c>
      <c r="E472">
        <v>1.501</v>
      </c>
      <c r="F472">
        <f t="shared" ref="F472:F473" si="60">D472-E472</f>
        <v>0.629</v>
      </c>
      <c r="G472" s="18">
        <f t="shared" ref="G472:G473" si="61">F472/D472</f>
        <v>0.295305164319249</v>
      </c>
      <c r="H472">
        <f t="shared" ref="H472:H473" si="62">F472*C472</f>
        <v>1.258</v>
      </c>
    </row>
    <row r="473" spans="1:11">
      <c r="A473" s="17">
        <v>8345</v>
      </c>
      <c r="B473" s="20" t="s">
        <v>32</v>
      </c>
      <c r="C473" s="20">
        <v>2</v>
      </c>
      <c r="D473">
        <v>1.78</v>
      </c>
      <c r="E473">
        <v>1.208</v>
      </c>
      <c r="F473">
        <f t="shared" si="60"/>
        <v>0.572</v>
      </c>
      <c r="G473" s="18">
        <f t="shared" si="61"/>
        <v>0.321348314606742</v>
      </c>
      <c r="H473">
        <f t="shared" si="62"/>
        <v>1.144</v>
      </c>
    </row>
    <row r="474" spans="1:11">
      <c r="A474" s="17">
        <v>8345</v>
      </c>
      <c r="B474" s="20" t="s">
        <v>1024</v>
      </c>
      <c r="C474" s="20">
        <v>2</v>
      </c>
      <c r="D474">
        <v>0.4</v>
      </c>
    </row>
    <row r="475" spans="1:11">
      <c r="A475" s="17">
        <v>8345</v>
      </c>
      <c r="B475" s="20" t="s">
        <v>1025</v>
      </c>
      <c r="C475" s="20">
        <v>2</v>
      </c>
      <c r="D475">
        <v>0.5</v>
      </c>
    </row>
    <row r="476" spans="1:11">
      <c r="A476" s="17">
        <v>8345</v>
      </c>
      <c r="B476" s="20" t="s">
        <v>619</v>
      </c>
      <c r="C476" s="20">
        <v>2</v>
      </c>
      <c r="D476">
        <v>0.18</v>
      </c>
    </row>
    <row r="477" spans="1:11">
      <c r="A477" s="17">
        <v>8347</v>
      </c>
      <c r="B477" s="20" t="s">
        <v>14</v>
      </c>
      <c r="C477" s="20">
        <v>2</v>
      </c>
      <c r="D477" s="20"/>
      <c r="E477" s="20">
        <v>1.1</v>
      </c>
    </row>
    <row r="478" spans="1:11">
      <c r="A478" s="17">
        <v>8350</v>
      </c>
      <c r="B478" s="20" t="s">
        <v>14</v>
      </c>
      <c r="C478" s="20">
        <v>2</v>
      </c>
      <c r="D478">
        <v>1.7</v>
      </c>
      <c r="E478">
        <v>0.89</v>
      </c>
      <c r="F478">
        <f t="shared" si="59"/>
        <v>0.81</v>
      </c>
      <c r="G478" s="18">
        <f t="shared" si="50"/>
        <v>0.476470588235294</v>
      </c>
      <c r="H478">
        <f t="shared" si="48"/>
        <v>1.62</v>
      </c>
    </row>
    <row r="479" spans="1:11">
      <c r="A479" s="17">
        <v>8350</v>
      </c>
      <c r="B479" s="20" t="s">
        <v>32</v>
      </c>
      <c r="C479" s="20">
        <v>2</v>
      </c>
      <c r="D479">
        <v>1.7</v>
      </c>
      <c r="E479">
        <v>0.83</v>
      </c>
      <c r="F479">
        <f t="shared" si="59"/>
        <v>0.87</v>
      </c>
      <c r="G479" s="18">
        <f t="shared" si="50"/>
        <v>0.511764705882353</v>
      </c>
      <c r="H479">
        <f t="shared" si="48"/>
        <v>1.74</v>
      </c>
    </row>
    <row r="480" spans="1:11">
      <c r="A480" s="17">
        <v>8354</v>
      </c>
      <c r="B480" s="20" t="s">
        <v>14</v>
      </c>
      <c r="C480" s="20">
        <v>2</v>
      </c>
      <c r="D480">
        <v>2.13</v>
      </c>
      <c r="E480">
        <v>1.501</v>
      </c>
      <c r="F480">
        <f t="shared" si="59"/>
        <v>0.629</v>
      </c>
      <c r="G480" s="18">
        <f t="shared" si="50"/>
        <v>0.295305164319249</v>
      </c>
      <c r="H480">
        <f t="shared" si="48"/>
        <v>1.258</v>
      </c>
    </row>
    <row r="481" spans="1:9">
      <c r="A481" s="17">
        <v>8354</v>
      </c>
      <c r="B481" s="20" t="s">
        <v>32</v>
      </c>
      <c r="C481" s="20">
        <v>2</v>
      </c>
      <c r="D481">
        <v>1.78</v>
      </c>
      <c r="E481">
        <v>1.208</v>
      </c>
      <c r="F481">
        <f t="shared" si="59"/>
        <v>0.572</v>
      </c>
      <c r="G481" s="18">
        <f t="shared" si="50"/>
        <v>0.321348314606742</v>
      </c>
      <c r="H481">
        <f t="shared" si="48"/>
        <v>1.144</v>
      </c>
    </row>
    <row r="482" spans="1:9">
      <c r="A482" s="17">
        <v>8354</v>
      </c>
      <c r="B482" s="20" t="s">
        <v>1024</v>
      </c>
      <c r="C482" s="20">
        <v>2</v>
      </c>
      <c r="D482">
        <v>0.4</v>
      </c>
    </row>
    <row r="483" spans="1:9">
      <c r="A483" s="17">
        <v>8354</v>
      </c>
      <c r="B483" s="20" t="s">
        <v>1025</v>
      </c>
      <c r="C483" s="20">
        <v>2</v>
      </c>
      <c r="D483">
        <v>0.5</v>
      </c>
    </row>
    <row r="484" spans="1:9">
      <c r="A484" s="17">
        <v>8354</v>
      </c>
      <c r="B484" s="20" t="s">
        <v>619</v>
      </c>
      <c r="C484" s="20">
        <v>2</v>
      </c>
      <c r="D484">
        <v>0.18</v>
      </c>
    </row>
    <row r="485" spans="1:9">
      <c r="A485" s="17">
        <v>8355</v>
      </c>
      <c r="B485" s="20" t="s">
        <v>14</v>
      </c>
      <c r="C485" s="20">
        <v>2</v>
      </c>
      <c r="D485">
        <v>3.6</v>
      </c>
      <c r="E485">
        <v>2.21</v>
      </c>
      <c r="F485">
        <f t="shared" ref="F485:F490" si="63">D485-E485</f>
        <v>1.39</v>
      </c>
      <c r="G485" s="18">
        <f t="shared" si="50"/>
        <v>0.386111111111111</v>
      </c>
      <c r="H485">
        <f t="shared" si="48"/>
        <v>2.78</v>
      </c>
    </row>
    <row r="486" spans="1:9">
      <c r="A486" s="17">
        <v>8363</v>
      </c>
      <c r="B486" s="20" t="s">
        <v>14</v>
      </c>
      <c r="C486" s="20">
        <v>2</v>
      </c>
      <c r="D486">
        <v>5.02</v>
      </c>
      <c r="E486">
        <v>2.8</v>
      </c>
      <c r="F486">
        <f t="shared" si="63"/>
        <v>2.22</v>
      </c>
      <c r="G486" s="18">
        <f t="shared" si="50"/>
        <v>0.442231075697211</v>
      </c>
      <c r="H486">
        <f t="shared" si="48"/>
        <v>4.44</v>
      </c>
    </row>
    <row r="487" spans="1:9">
      <c r="A487" s="17">
        <v>8364</v>
      </c>
      <c r="B487" s="20" t="s">
        <v>14</v>
      </c>
      <c r="C487" s="20">
        <v>2</v>
      </c>
      <c r="D487">
        <v>4.11</v>
      </c>
      <c r="E487">
        <v>2.14</v>
      </c>
      <c r="F487">
        <f t="shared" si="63"/>
        <v>1.97</v>
      </c>
      <c r="G487" s="18">
        <f t="shared" si="50"/>
        <v>0.479318734793187</v>
      </c>
      <c r="H487">
        <f t="shared" si="48"/>
        <v>3.94</v>
      </c>
    </row>
    <row r="488" spans="1:9">
      <c r="A488" s="17">
        <v>8375</v>
      </c>
      <c r="B488" s="20" t="s">
        <v>14</v>
      </c>
      <c r="C488" s="20">
        <v>2</v>
      </c>
      <c r="D488">
        <v>2.21</v>
      </c>
      <c r="E488">
        <v>3.27</v>
      </c>
      <c r="F488">
        <f t="shared" si="63"/>
        <v>-1.06</v>
      </c>
      <c r="G488" s="18">
        <f t="shared" si="50"/>
        <v>-0.479638009049774</v>
      </c>
      <c r="H488">
        <f t="shared" si="48"/>
        <v>-2.12</v>
      </c>
    </row>
    <row r="489" spans="1:9">
      <c r="A489" s="17">
        <v>8375</v>
      </c>
      <c r="B489" s="20" t="s">
        <v>32</v>
      </c>
      <c r="C489" s="20">
        <v>2</v>
      </c>
      <c r="D489">
        <v>2.21</v>
      </c>
      <c r="E489">
        <v>0</v>
      </c>
      <c r="F489">
        <f t="shared" si="63"/>
        <v>2.21</v>
      </c>
      <c r="G489" s="18">
        <f t="shared" si="50"/>
        <v>1</v>
      </c>
      <c r="H489">
        <f t="shared" si="48"/>
        <v>4.42</v>
      </c>
    </row>
    <row r="490" spans="1:9">
      <c r="A490" s="17">
        <v>8375</v>
      </c>
      <c r="B490" s="20" t="s">
        <v>160</v>
      </c>
      <c r="C490" s="20">
        <v>2</v>
      </c>
      <c r="D490">
        <v>1.03</v>
      </c>
      <c r="E490">
        <v>0</v>
      </c>
      <c r="F490">
        <f t="shared" si="63"/>
        <v>1.03</v>
      </c>
      <c r="G490" s="18">
        <f t="shared" si="50"/>
        <v>1</v>
      </c>
      <c r="H490">
        <f t="shared" si="48"/>
        <v>2.06</v>
      </c>
    </row>
    <row r="491" spans="1:9">
      <c r="A491" s="17">
        <v>8402</v>
      </c>
      <c r="B491" s="20" t="s">
        <v>14</v>
      </c>
      <c r="C491" s="20">
        <v>2</v>
      </c>
      <c r="D491">
        <v>4.11</v>
      </c>
      <c r="E491">
        <v>2.7</v>
      </c>
      <c r="F491">
        <f t="shared" si="59"/>
        <v>1.41</v>
      </c>
      <c r="G491" s="18">
        <f t="shared" si="50"/>
        <v>0.343065693430657</v>
      </c>
      <c r="H491">
        <f t="shared" si="48"/>
        <v>2.82</v>
      </c>
      <c r="I491" s="19" t="s">
        <v>1026</v>
      </c>
    </row>
    <row r="492" spans="1:9">
      <c r="A492" s="17">
        <v>9023</v>
      </c>
      <c r="B492" s="20" t="s">
        <v>14</v>
      </c>
      <c r="C492" s="20">
        <v>2</v>
      </c>
      <c r="D492">
        <v>2.21</v>
      </c>
      <c r="E492" s="23">
        <v>2.5</v>
      </c>
      <c r="F492">
        <f t="shared" si="59"/>
        <v>-0.29</v>
      </c>
      <c r="G492" s="18">
        <f t="shared" si="50"/>
        <v>-0.131221719457014</v>
      </c>
      <c r="H492">
        <f t="shared" si="48"/>
        <v>-0.58</v>
      </c>
    </row>
    <row r="493" spans="1:9">
      <c r="A493" s="17">
        <v>9023</v>
      </c>
      <c r="B493" s="20" t="s">
        <v>32</v>
      </c>
      <c r="C493" s="20">
        <v>2</v>
      </c>
      <c r="D493">
        <v>2.21</v>
      </c>
      <c r="E493">
        <v>0</v>
      </c>
      <c r="F493">
        <f t="shared" si="59"/>
        <v>2.21</v>
      </c>
      <c r="G493" s="18">
        <f t="shared" si="50"/>
        <v>1</v>
      </c>
      <c r="H493">
        <f t="shared" si="48"/>
        <v>4.42</v>
      </c>
    </row>
    <row r="494" spans="1:9">
      <c r="A494" s="17">
        <v>9023</v>
      </c>
      <c r="B494" s="20" t="s">
        <v>160</v>
      </c>
      <c r="C494" s="20">
        <v>2</v>
      </c>
      <c r="D494">
        <v>0.49</v>
      </c>
      <c r="E494">
        <v>0</v>
      </c>
      <c r="F494">
        <f t="shared" si="59"/>
        <v>0.49</v>
      </c>
      <c r="G494" s="18">
        <f t="shared" si="50"/>
        <v>1</v>
      </c>
      <c r="H494">
        <f t="shared" si="48"/>
        <v>0.98</v>
      </c>
    </row>
  </sheetData>
  <autoFilter xmlns:etc="http://www.wps.cn/officeDocument/2017/etCustomData" ref="A1:G494" etc:filterBottomFollowUsedRange="0">
    <extLst/>
  </autoFilter>
  <sortState ref="A29:E150">
    <sortCondition ref="A29:A150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Y9"/>
  <sheetViews>
    <sheetView workbookViewId="0">
      <selection activeCell="M8" sqref="M8"/>
    </sheetView>
  </sheetViews>
  <sheetFormatPr defaultColWidth="9.14285714285714" defaultRowHeight="17.6"/>
  <cols>
    <col min="1" max="1" width="12.2142857142857" customWidth="1"/>
    <col min="6" max="6" width="25.5892857142857" customWidth="1"/>
    <col min="13" max="13" width="17.7053571428571" customWidth="1"/>
  </cols>
  <sheetData>
    <row r="1" s="1" customFormat="1" ht="21" customHeight="1" spans="1:259">
      <c r="A1" s="4" t="s">
        <v>0</v>
      </c>
      <c r="B1" s="4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7" t="s">
        <v>7</v>
      </c>
      <c r="J1" s="1" t="s">
        <v>8</v>
      </c>
      <c r="K1" s="1" t="s">
        <v>9</v>
      </c>
      <c r="L1" s="1" t="s">
        <v>1027</v>
      </c>
      <c r="M1" s="5" t="s">
        <v>10</v>
      </c>
    </row>
    <row r="2" spans="1:259">
      <c r="A2" t="s">
        <v>1028</v>
      </c>
      <c r="B2" t="s">
        <v>325</v>
      </c>
      <c r="C2" t="s">
        <v>42</v>
      </c>
      <c r="D2" t="s">
        <v>326</v>
      </c>
      <c r="E2" t="s">
        <v>14</v>
      </c>
      <c r="F2" t="s">
        <v>1029</v>
      </c>
      <c r="G2" s="8">
        <v>6</v>
      </c>
      <c r="H2" s="9">
        <f>J2*K2*7.84999999999999*I2/G2/1000000</f>
        <v>2.61562</v>
      </c>
      <c r="I2" s="10">
        <v>3.5</v>
      </c>
      <c r="J2" s="8">
        <v>357</v>
      </c>
      <c r="K2" s="8">
        <v>1600</v>
      </c>
      <c r="L2" s="8" t="s">
        <v>1030</v>
      </c>
      <c r="M2" t="s">
        <v>1031</v>
      </c>
    </row>
    <row r="3" s="2" customFormat="1" ht="21" customHeight="1" spans="1:259">
      <c r="A3" s="11" t="s">
        <v>1032</v>
      </c>
      <c r="B3" s="11" t="s">
        <v>783</v>
      </c>
      <c r="C3" s="11" t="s">
        <v>42</v>
      </c>
      <c r="D3" s="12"/>
      <c r="E3" s="12" t="s">
        <v>14</v>
      </c>
      <c r="F3" s="13"/>
      <c r="G3" s="8">
        <v>24</v>
      </c>
      <c r="H3" s="14">
        <f t="shared" ref="H3:H9" si="0">J3*K3*7.85*I3/G3/1000000</f>
        <v>3.57747395833333</v>
      </c>
      <c r="I3" s="10">
        <v>3.5</v>
      </c>
      <c r="J3" s="8">
        <v>1250</v>
      </c>
      <c r="K3" s="8">
        <v>2500</v>
      </c>
      <c r="L3" s="13"/>
      <c r="M3" s="8" t="s">
        <v>1033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</row>
    <row r="4" s="2" customFormat="1" ht="21" customHeight="1" spans="1:259">
      <c r="A4" s="11" t="s">
        <v>1032</v>
      </c>
      <c r="B4" s="11" t="s">
        <v>784</v>
      </c>
      <c r="C4" s="11" t="s">
        <v>42</v>
      </c>
      <c r="D4" s="12"/>
      <c r="E4" s="12" t="s">
        <v>32</v>
      </c>
      <c r="F4" s="13"/>
      <c r="G4" s="8">
        <v>62</v>
      </c>
      <c r="H4" s="14">
        <f t="shared" si="0"/>
        <v>0.79133064516129</v>
      </c>
      <c r="I4" s="10">
        <v>2</v>
      </c>
      <c r="J4" s="8">
        <v>1250</v>
      </c>
      <c r="K4" s="8">
        <v>2500</v>
      </c>
      <c r="L4" s="13"/>
      <c r="M4" s="8" t="s">
        <v>1033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</row>
    <row r="5" s="2" customFormat="1" ht="21" customHeight="1" spans="1:259">
      <c r="A5" s="11" t="s">
        <v>1032</v>
      </c>
      <c r="B5" s="11" t="s">
        <v>785</v>
      </c>
      <c r="C5" s="11" t="s">
        <v>42</v>
      </c>
      <c r="D5" s="12"/>
      <c r="E5" s="12" t="s">
        <v>786</v>
      </c>
      <c r="F5" s="13"/>
      <c r="G5" s="8">
        <v>24</v>
      </c>
      <c r="H5" s="14">
        <f t="shared" si="0"/>
        <v>0</v>
      </c>
      <c r="I5" s="10">
        <v>3.5</v>
      </c>
      <c r="J5" s="8">
        <v>0</v>
      </c>
      <c r="K5" s="8">
        <v>0</v>
      </c>
      <c r="L5" s="13"/>
      <c r="M5" s="8" t="s">
        <v>1033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</row>
    <row r="6" s="2" customFormat="1" ht="21" customHeight="1" spans="1:259">
      <c r="A6" s="11" t="s">
        <v>1032</v>
      </c>
      <c r="B6" s="11" t="s">
        <v>787</v>
      </c>
      <c r="C6" s="11" t="s">
        <v>42</v>
      </c>
      <c r="D6" s="12"/>
      <c r="E6" s="12" t="s">
        <v>788</v>
      </c>
      <c r="F6" s="13"/>
      <c r="G6" s="8">
        <v>26</v>
      </c>
      <c r="H6" s="14">
        <f t="shared" si="0"/>
        <v>0</v>
      </c>
      <c r="I6" s="10">
        <v>3.5</v>
      </c>
      <c r="J6" s="8">
        <v>0</v>
      </c>
      <c r="K6" s="8">
        <v>0</v>
      </c>
      <c r="L6" s="13"/>
      <c r="M6" s="8" t="s">
        <v>1033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</row>
    <row r="7" s="3" customFormat="1" ht="13.5" customHeight="1" spans="1:259">
      <c r="A7" s="8" t="s">
        <v>1034</v>
      </c>
      <c r="B7" s="8" t="s">
        <v>977</v>
      </c>
      <c r="C7" s="8" t="s">
        <v>42</v>
      </c>
      <c r="D7" s="13"/>
      <c r="E7" s="13" t="s">
        <v>14</v>
      </c>
      <c r="F7" s="13" t="s">
        <v>1035</v>
      </c>
      <c r="G7" s="8">
        <v>27</v>
      </c>
      <c r="H7" s="9">
        <f t="shared" si="0"/>
        <v>4.54282407407407</v>
      </c>
      <c r="I7" s="10">
        <v>5</v>
      </c>
      <c r="J7" s="8">
        <v>1250</v>
      </c>
      <c r="K7" s="8">
        <v>2500</v>
      </c>
      <c r="L7" s="15"/>
      <c r="M7" s="8" t="s">
        <v>1033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</row>
    <row r="8" s="2" customFormat="1" ht="21" customHeight="1" spans="1:259">
      <c r="A8" s="8">
        <v>8234</v>
      </c>
      <c r="B8" s="8" t="s">
        <v>769</v>
      </c>
      <c r="C8" s="8" t="s">
        <v>42</v>
      </c>
      <c r="D8" s="13" t="s">
        <v>770</v>
      </c>
      <c r="E8" s="13" t="s">
        <v>14</v>
      </c>
      <c r="F8" s="13" t="s">
        <v>72</v>
      </c>
      <c r="G8" s="8">
        <v>4</v>
      </c>
      <c r="H8" s="9">
        <f t="shared" si="0"/>
        <v>1.928745</v>
      </c>
      <c r="I8" s="10">
        <v>2.5</v>
      </c>
      <c r="J8" s="8">
        <v>312</v>
      </c>
      <c r="K8" s="8">
        <v>1260</v>
      </c>
      <c r="L8" s="13"/>
      <c r="M8" s="8" t="s">
        <v>1036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</row>
    <row r="9" s="2" customFormat="1" ht="21" customHeight="1" spans="1:259">
      <c r="A9" s="8">
        <v>8234</v>
      </c>
      <c r="B9" s="8" t="s">
        <v>771</v>
      </c>
      <c r="C9" s="8" t="s">
        <v>42</v>
      </c>
      <c r="D9" s="13" t="s">
        <v>770</v>
      </c>
      <c r="E9" s="13" t="s">
        <v>32</v>
      </c>
      <c r="F9" s="13" t="s">
        <v>72</v>
      </c>
      <c r="G9" s="8">
        <v>4</v>
      </c>
      <c r="H9" s="9">
        <f t="shared" si="0"/>
        <v>1.928745</v>
      </c>
      <c r="I9" s="10">
        <v>2.5</v>
      </c>
      <c r="J9" s="8">
        <v>312</v>
      </c>
      <c r="K9" s="8">
        <v>1260</v>
      </c>
      <c r="L9" s="13"/>
      <c r="M9" s="8" t="s">
        <v>1036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材料数据</vt:lpstr>
      <vt:lpstr>片件重量</vt:lpstr>
      <vt:lpstr>后备下料资料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林振岳</cp:lastModifiedBy>
  <cp:revision>1</cp:revision>
  <dcterms:created xsi:type="dcterms:W3CDTF">2014-11-29T23:15:00Z</dcterms:created>
  <dcterms:modified xsi:type="dcterms:W3CDTF">2026-04-26T00:53:37Z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A1EE90C96348C76CA7EBEC69A8632AEF_43</vt:lpwstr>
  </property>
  <property fmtid="{D5CDD505-2E9C-101B-9397-08002B2CF9AE}" pid="4" name="CalculationRule">
    <vt:i4>0</vt:i4>
  </property>
</Properties>
</file>